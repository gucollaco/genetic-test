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EstaPastaDeTrabalho"/>
  <xr:revisionPtr revIDLastSave="0" documentId="10_ncr:100000_{0EAB64B9-F3D8-4718-B6B8-DB23C9F80B46}" xr6:coauthVersionLast="31" xr6:coauthVersionMax="31" xr10:uidLastSave="{00000000-0000-0000-0000-000000000000}"/>
  <bookViews>
    <workbookView xWindow="4680" yWindow="0" windowWidth="22260" windowHeight="12648" activeTab="1" xr2:uid="{00000000-000D-0000-FFFF-FFFF00000000}"/>
  </bookViews>
  <sheets>
    <sheet name="(analise) Coeficiente de Tempo" sheetId="4" r:id="rId1"/>
    <sheet name="Tabela de Condições" sheetId="1" r:id="rId2"/>
    <sheet name="query" sheetId="3" r:id="rId3"/>
    <sheet name="json" sheetId="2" r:id="rId4"/>
  </sheets>
  <functionGroups builtInGroupCount="19"/>
  <definedNames>
    <definedName name="DadosExternos_1" localSheetId="2" hidden="1">query!$A$1:$E$27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2" i="4"/>
  <c r="G3" i="4"/>
  <c r="G4" i="4"/>
  <c r="G5" i="4"/>
  <c r="G6" i="4"/>
  <c r="G7" i="4"/>
  <c r="G8" i="4"/>
  <c r="G9" i="4"/>
  <c r="G10" i="4"/>
  <c r="G11" i="4"/>
  <c r="G2" i="4"/>
  <c r="E3" i="4"/>
  <c r="E4" i="4"/>
  <c r="E5" i="4"/>
  <c r="E6" i="4"/>
  <c r="E7" i="4"/>
  <c r="E8" i="4"/>
  <c r="E9" i="4"/>
  <c r="E10" i="4"/>
  <c r="E11" i="4"/>
  <c r="E2" i="4"/>
  <c r="D3" i="4"/>
  <c r="D4" i="4"/>
  <c r="D5" i="4"/>
  <c r="D6" i="4"/>
  <c r="D7" i="4"/>
  <c r="D8" i="4"/>
  <c r="D9" i="4"/>
  <c r="D10" i="4"/>
  <c r="D11" i="4"/>
  <c r="D2" i="4"/>
  <c r="B3" i="4"/>
  <c r="B4" i="4"/>
  <c r="B5" i="4"/>
  <c r="B6" i="4"/>
  <c r="B7" i="4"/>
  <c r="B8" i="4"/>
  <c r="B9" i="4"/>
  <c r="B10" i="4"/>
  <c r="B11" i="4"/>
  <c r="B2" i="4"/>
  <c r="D13" i="4"/>
  <c r="D14" i="4"/>
  <c r="D15" i="4"/>
  <c r="D16" i="4"/>
  <c r="D17" i="4"/>
  <c r="D18" i="4"/>
  <c r="D19" i="4"/>
  <c r="D20" i="4"/>
  <c r="B13" i="4"/>
  <c r="B14" i="4"/>
  <c r="B15" i="4"/>
  <c r="B16" i="4"/>
  <c r="B17" i="4"/>
  <c r="B18" i="4"/>
  <c r="B19" i="4"/>
  <c r="B20" i="4"/>
  <c r="M4" i="2"/>
  <c r="O12" i="2"/>
  <c r="M19" i="2"/>
  <c r="P9" i="2"/>
  <c r="P5" i="2"/>
  <c r="O7" i="2"/>
  <c r="O25" i="2"/>
  <c r="C39" i="1"/>
  <c r="D39" i="1" s="1"/>
  <c r="C40" i="1"/>
  <c r="D40" i="1" s="1"/>
  <c r="C41" i="1"/>
  <c r="C42" i="1"/>
  <c r="C43" i="1"/>
  <c r="D43" i="1" s="1"/>
  <c r="C44" i="1"/>
  <c r="C45" i="1"/>
  <c r="C46" i="1"/>
  <c r="D46" i="1" s="1"/>
  <c r="C47" i="1"/>
  <c r="D47" i="1" s="1"/>
  <c r="C48" i="1"/>
  <c r="D48" i="1" s="1"/>
  <c r="C49" i="1"/>
  <c r="D49" i="1" s="1"/>
  <c r="C50" i="1"/>
  <c r="C51" i="1"/>
  <c r="D51" i="1" s="1"/>
  <c r="C52" i="1"/>
  <c r="D52" i="1" s="1"/>
  <c r="C53" i="1"/>
  <c r="C54" i="1"/>
  <c r="D54" i="1" s="1"/>
  <c r="C55" i="1"/>
  <c r="C56" i="1"/>
  <c r="C57" i="1"/>
  <c r="D57" i="1" s="1"/>
  <c r="C58" i="1"/>
  <c r="D58" i="1" s="1"/>
  <c r="C59" i="1"/>
  <c r="D59" i="1" s="1"/>
  <c r="C60" i="1"/>
  <c r="D60" i="1" s="1"/>
  <c r="C61" i="1"/>
  <c r="C62" i="1"/>
  <c r="D62" i="1" s="1"/>
  <c r="C63" i="1"/>
  <c r="D63" i="1" s="1"/>
  <c r="C38" i="1"/>
  <c r="D38" i="1" s="1"/>
  <c r="D41" i="1"/>
  <c r="D42" i="1"/>
  <c r="D44" i="1"/>
  <c r="D45" i="1"/>
  <c r="D50" i="1"/>
  <c r="D53" i="1"/>
  <c r="D55" i="1"/>
  <c r="D56" i="1"/>
  <c r="D61" i="1"/>
  <c r="J3" i="2"/>
  <c r="J14" i="2"/>
  <c r="J8" i="2"/>
  <c r="J11" i="2"/>
  <c r="J13" i="2"/>
  <c r="J23" i="2"/>
  <c r="J17" i="2"/>
  <c r="J20" i="2"/>
  <c r="J7" i="2"/>
  <c r="J18" i="2"/>
  <c r="J5" i="2"/>
  <c r="J15" i="2"/>
  <c r="J9" i="2"/>
  <c r="J21" i="2"/>
  <c r="J26" i="2"/>
  <c r="J25" i="2"/>
  <c r="J6" i="2"/>
  <c r="J27" i="2"/>
  <c r="J10" i="2"/>
  <c r="J12" i="2"/>
  <c r="J22" i="2"/>
  <c r="J16" i="2"/>
  <c r="J2" i="2"/>
  <c r="J4" i="2"/>
  <c r="J19" i="2"/>
  <c r="J24" i="2"/>
  <c r="O15" i="2" l="1"/>
  <c r="M16" i="2"/>
  <c r="M2" i="2"/>
  <c r="L18" i="2"/>
  <c r="M26" i="2"/>
  <c r="M22" i="2"/>
  <c r="M13" i="2"/>
  <c r="M17" i="2"/>
  <c r="M8" i="2"/>
  <c r="M25" i="2"/>
  <c r="M12" i="2"/>
  <c r="M23" i="2"/>
  <c r="M11" i="2"/>
  <c r="M5" i="2"/>
  <c r="M21" i="2"/>
  <c r="M9" i="2"/>
  <c r="M20" i="2"/>
  <c r="M24" i="2"/>
  <c r="M27" i="2"/>
  <c r="L14" i="2"/>
  <c r="L26" i="2"/>
  <c r="F1" i="4"/>
  <c r="F11" i="4" s="1"/>
  <c r="C1" i="4"/>
  <c r="C4" i="4" s="1"/>
  <c r="P8" i="2"/>
  <c r="O19" i="2"/>
  <c r="M3" i="2"/>
  <c r="O11" i="2"/>
  <c r="O23" i="2"/>
  <c r="O17" i="2"/>
  <c r="O9" i="2"/>
  <c r="O4" i="2"/>
  <c r="P10" i="2"/>
  <c r="P26" i="2"/>
  <c r="P24" i="2"/>
  <c r="P22" i="2"/>
  <c r="O5" i="2"/>
  <c r="O26" i="2"/>
  <c r="O20" i="2"/>
  <c r="O18" i="2"/>
  <c r="O16" i="2"/>
  <c r="O14" i="2"/>
  <c r="O10" i="2"/>
  <c r="O6" i="2"/>
  <c r="O2" i="2"/>
  <c r="O24" i="2"/>
  <c r="P15" i="2"/>
  <c r="O3" i="2"/>
  <c r="P21" i="2"/>
  <c r="O13" i="2"/>
  <c r="O22" i="2"/>
  <c r="L23" i="2"/>
  <c r="O27" i="2"/>
  <c r="O21" i="2"/>
  <c r="O8" i="2"/>
  <c r="L6" i="2"/>
  <c r="L25" i="2"/>
  <c r="L27" i="2"/>
  <c r="L15" i="2"/>
  <c r="L12" i="2"/>
  <c r="L21" i="2"/>
  <c r="L16" i="2"/>
  <c r="L3" i="2"/>
  <c r="L9" i="2"/>
  <c r="N3" i="2"/>
  <c r="N10" i="2"/>
  <c r="N8" i="2"/>
  <c r="N9" i="2"/>
  <c r="N16" i="2"/>
  <c r="N15" i="2"/>
  <c r="N7" i="2"/>
  <c r="N18" i="2"/>
  <c r="N14" i="2"/>
  <c r="N6" i="2"/>
  <c r="N13" i="2"/>
  <c r="N5" i="2"/>
  <c r="N11" i="2"/>
  <c r="N17" i="2"/>
  <c r="N12" i="2"/>
  <c r="N4" i="2"/>
  <c r="N2" i="2"/>
  <c r="P27" i="2"/>
  <c r="P19" i="2"/>
  <c r="P12" i="2"/>
  <c r="P4" i="2"/>
  <c r="P18" i="2"/>
  <c r="P6" i="2"/>
  <c r="P23" i="2"/>
  <c r="P17" i="2"/>
  <c r="P14" i="2"/>
  <c r="P11" i="2"/>
  <c r="P7" i="2"/>
  <c r="P2" i="2"/>
  <c r="P20" i="2"/>
  <c r="P13" i="2"/>
  <c r="P3" i="2"/>
  <c r="P25" i="2"/>
  <c r="P16" i="2"/>
  <c r="L7" i="2"/>
  <c r="L5" i="2"/>
  <c r="L13" i="2"/>
  <c r="L8" i="2"/>
  <c r="L11" i="2"/>
  <c r="L20" i="2"/>
  <c r="L2" i="2"/>
  <c r="L24" i="2"/>
  <c r="L22" i="2"/>
  <c r="L4" i="2"/>
  <c r="L10" i="2"/>
  <c r="L17" i="2"/>
  <c r="L19" i="2"/>
  <c r="N24" i="2"/>
  <c r="N23" i="2"/>
  <c r="N22" i="2"/>
  <c r="N21" i="2"/>
  <c r="N20" i="2"/>
  <c r="N26" i="2"/>
  <c r="N25" i="2"/>
  <c r="N27" i="2"/>
  <c r="N19" i="2"/>
  <c r="M10" i="2"/>
  <c r="M14" i="2"/>
  <c r="M6" i="2"/>
  <c r="M15" i="2"/>
  <c r="M7" i="2"/>
  <c r="M18" i="2"/>
  <c r="R5" i="2" l="1"/>
  <c r="R9" i="2"/>
  <c r="F3" i="4"/>
  <c r="F8" i="4"/>
  <c r="F10" i="4"/>
  <c r="F6" i="4"/>
  <c r="F2" i="4"/>
  <c r="F9" i="4"/>
  <c r="F7" i="4"/>
  <c r="F4" i="4"/>
  <c r="F5" i="4"/>
  <c r="C19" i="4"/>
  <c r="C14" i="4"/>
  <c r="C16" i="4"/>
  <c r="C5" i="4"/>
  <c r="C17" i="4"/>
  <c r="C7" i="4"/>
  <c r="C13" i="4"/>
  <c r="C9" i="4"/>
  <c r="C18" i="4"/>
  <c r="C10" i="4"/>
  <c r="C3" i="4"/>
  <c r="C11" i="4"/>
  <c r="C6" i="4"/>
  <c r="C15" i="4"/>
  <c r="C2" i="4"/>
  <c r="C20" i="4"/>
  <c r="C8" i="4"/>
  <c r="R21" i="2"/>
  <c r="R11" i="2"/>
  <c r="R12" i="2"/>
  <c r="R25" i="2"/>
  <c r="R8" i="2"/>
  <c r="R16" i="2"/>
  <c r="R26" i="2"/>
  <c r="R17" i="2"/>
  <c r="R22" i="2"/>
  <c r="R6" i="2"/>
  <c r="R2" i="2"/>
  <c r="R23" i="2"/>
  <c r="R27" i="2"/>
  <c r="R15" i="2"/>
  <c r="R19" i="2"/>
  <c r="R3" i="2"/>
  <c r="R13" i="2"/>
  <c r="R20" i="2"/>
  <c r="R4" i="2"/>
  <c r="R24" i="2"/>
  <c r="R18" i="2"/>
  <c r="R7" i="2"/>
  <c r="R10" i="2"/>
  <c r="R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2" authorId="0" shapeId="0" xr:uid="{981FA5E1-C5DD-4D03-B486-503E6741AF9A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Impossibilidade, procriar e mutar uma grade que quebra essa restrição quase nunca vai retirar a restrição</t>
        </r>
      </text>
    </comment>
    <comment ref="C3" authorId="0" shapeId="0" xr:uid="{61CE9512-0DAD-42EB-80BD-2E6B870B3C72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Cresce exponencialmente com o tamanho da janela</t>
        </r>
      </text>
    </comment>
    <comment ref="C4" authorId="0" shapeId="0" xr:uid="{4DE4DAEF-7ACB-4D8B-ACEB-E4F7244ABECE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Impossibilidade, porém a penalidade é mais baixa porque mutar uma grade assim é mais facil</t>
        </r>
      </text>
    </comment>
    <comment ref="C5" authorId="0" shapeId="0" xr:uid="{E77F67AB-A822-462B-A6F9-DC8654E4A0BE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Impossibilidade, a penalidade é maior porque uma grade com essa uc tem que perder a uc (e como a mutação é radomica a chance da materia sumir é pequena)</t>
        </r>
      </text>
    </comment>
    <comment ref="C12" authorId="0" shapeId="0" xr:uid="{97CE62CB-58C5-4A47-8F60-FF8858EB2D18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Provavelmente só avaliar com numero não seja necessário em casos mais extremos (onde ta acabando o tempo pra pegar Ucs interdisciplinares). Talvez uma busca local deva inserir obrigatoriamente em situacoes N
</t>
        </r>
      </text>
    </comment>
    <comment ref="C14" authorId="0" shapeId="0" xr:uid="{741B74CC-35A7-417E-9866-D4302330BDA8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Considerar se é uma boa ideia correlacionar uma condicao de dps e dificuldade do professor (caso tenha mts dps, procurar uma dificuldade de professor menor)
</t>
        </r>
      </text>
    </comment>
    <comment ref="C16" authorId="0" shapeId="0" xr:uid="{71FBD119-3EAD-44BA-ADB2-6E6F12F7EA64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o horario estiver vazio e ele NÁO preferir o horario essa condicao se aplica</t>
        </r>
      </text>
    </comment>
    <comment ref="C17" authorId="0" shapeId="0" xr:uid="{9D93A133-193D-47B6-8F33-33B159722966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o aluno nao prefere o horario ele n conta como gap</t>
        </r>
      </text>
    </comment>
    <comment ref="C20" authorId="0" shapeId="0" xr:uid="{55F05F89-9B04-4D88-8E07-E20B262FFE87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Teoricamente vai servir pra aumentar o bonus de Ucs obrigatorias qnd o aluno ta pra se formar do BCT ou especifica. 
t é inversamente proporcial ao tempo q falta de curso</t>
        </r>
      </text>
    </comment>
    <comment ref="C21" authorId="0" shapeId="0" xr:uid="{E139BE87-1485-4DD4-80F7-C527004F5F0A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Uma ideia para tentar quantificar o tempo que falta de maneira generica é pedir o x (qnt tempo falta) e o minX(1)</t>
        </r>
      </text>
    </comment>
    <comment ref="C24" authorId="0" shapeId="0" xr:uid="{352A6E6B-2039-45FB-8972-A4BF0BA5F937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Quando uma aula de 72h ou 108h nao tem todas as aulas agendadas na grade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dicoes" description="Conexão com a consulta 'condicoes' na pasta de trabalho." type="5" refreshedVersion="6" background="1" saveData="1">
    <dbPr connection="Provider=Microsoft.Mashup.OleDb.1;Data Source=$Workbook$;Location=condicoes;Extended Properties=&quot;&quot;" command="SELECT * FROM [condicoes]"/>
  </connection>
</connections>
</file>

<file path=xl/sharedStrings.xml><?xml version="1.0" encoding="utf-8"?>
<sst xmlns="http://schemas.openxmlformats.org/spreadsheetml/2006/main" count="361" uniqueCount="122">
  <si>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</si>
  <si>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</si>
  <si>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</si>
  <si>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</si>
  <si>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</si>
  <si>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</si>
  <si>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</si>
  <si>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</si>
  <si>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</si>
  <si>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</si>
  <si>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</si>
  <si>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</si>
  <si>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</si>
  <si>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</si>
  <si>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</si>
  <si>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</si>
  <si>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</si>
  <si>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</si>
  <si>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</si>
  <si>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</si>
  <si>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</si>
  <si>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</si>
  <si>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</si>
  <si>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</si>
  <si>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</si>
  <si>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</si>
  <si>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Gravíssimo</t>
  </si>
  <si>
    <t>Múltiplas aulas ao mesmo tempo</t>
  </si>
  <si>
    <t>Médio</t>
  </si>
  <si>
    <t>Janela Entre-Aulas</t>
  </si>
  <si>
    <t>g=tamanho da janela</t>
  </si>
  <si>
    <t>Grave</t>
  </si>
  <si>
    <t>Múltiplas aulas da mesma UC</t>
  </si>
  <si>
    <t>UC sem pré-requisitos</t>
  </si>
  <si>
    <t>g(x)</t>
  </si>
  <si>
    <t>f(x)</t>
  </si>
  <si>
    <t>Pequeno</t>
  </si>
  <si>
    <t>Boníssimo</t>
  </si>
  <si>
    <t>Bom</t>
  </si>
  <si>
    <t>Regular</t>
  </si>
  <si>
    <t>Básico</t>
  </si>
  <si>
    <t>Dependencias futuras</t>
  </si>
  <si>
    <t>d=numero de dependencias</t>
  </si>
  <si>
    <t>Termo presente</t>
  </si>
  <si>
    <t>Termo passado</t>
  </si>
  <si>
    <t>Termo futuro</t>
  </si>
  <si>
    <t>UC eletiva</t>
  </si>
  <si>
    <t>-inf</t>
  </si>
  <si>
    <t>O valor é atribuído individualmente ao checar o slot</t>
  </si>
  <si>
    <t>d/3</t>
  </si>
  <si>
    <t>Provavelmente uma busca local vai ser necessária pra sumir com isso</t>
  </si>
  <si>
    <t>valor</t>
  </si>
  <si>
    <t>1.7, 6, 21, 36</t>
  </si>
  <si>
    <t>Dificuldade do professor</t>
  </si>
  <si>
    <t>O nível não pode ser alto por culpa da baixa confiabilidade dos dados</t>
  </si>
  <si>
    <t>t=dificuldade do professor</t>
  </si>
  <si>
    <t>p(x)</t>
  </si>
  <si>
    <t>Difícil</t>
  </si>
  <si>
    <t>Fácil</t>
  </si>
  <si>
    <t>i(x)</t>
  </si>
  <si>
    <t>Importante</t>
  </si>
  <si>
    <t>Mediano</t>
  </si>
  <si>
    <t>Irrelevante</t>
  </si>
  <si>
    <t>-1 * 3**(g * 2/4) * i(x)</t>
  </si>
  <si>
    <t>UC interdisciplinar</t>
  </si>
  <si>
    <t>q</t>
  </si>
  <si>
    <t>Quanto mais tarde e mais interdisciplinares faltarem, mais imoprtante uma UC desse tipo</t>
  </si>
  <si>
    <t>d</t>
  </si>
  <si>
    <t>t</t>
  </si>
  <si>
    <t>UC já cursada e aprovada</t>
  </si>
  <si>
    <t>DP na UC</t>
  </si>
  <si>
    <t>t ** i(x)</t>
  </si>
  <si>
    <t>q + (t/10)</t>
  </si>
  <si>
    <t>Professor não da falta</t>
  </si>
  <si>
    <t>1 * i(x)</t>
  </si>
  <si>
    <t>Dificuldade do Professor</t>
  </si>
  <si>
    <t>Importancia (dado pelo aluno)</t>
  </si>
  <si>
    <t>Aluno prefere o horário</t>
  </si>
  <si>
    <t>Aluno prefere NÃO ter o horário</t>
  </si>
  <si>
    <t>Aluno quer fazer a matéria</t>
  </si>
  <si>
    <t xml:space="preserve"> = </t>
  </si>
  <si>
    <t>id</t>
  </si>
  <si>
    <t>name</t>
  </si>
  <si>
    <t>score</t>
  </si>
  <si>
    <t>extra</t>
  </si>
  <si>
    <t>obs</t>
  </si>
  <si>
    <t>status</t>
  </si>
  <si>
    <t>[</t>
  </si>
  <si>
    <t>]</t>
  </si>
  <si>
    <t>"</t>
  </si>
  <si>
    <t>float('-inf')</t>
  </si>
  <si>
    <t>q=quantidade de dp's, t=dificuldade do professor</t>
  </si>
  <si>
    <t>VARIABLE</t>
  </si>
  <si>
    <t>g</t>
  </si>
  <si>
    <t>q,t</t>
  </si>
  <si>
    <t>Aluno é do curso da UC</t>
  </si>
  <si>
    <t>A UC é obrigatória pro curso</t>
  </si>
  <si>
    <t>Só é valida qnd a UC é de termo passado (toma-se como t max 10)</t>
  </si>
  <si>
    <t>O aluno precisa de Ucs eletivas</t>
  </si>
  <si>
    <t>Só aplicada qnd a UC é eletiva</t>
  </si>
  <si>
    <t>c(x)</t>
  </si>
  <si>
    <t>1/(x + 5)²</t>
  </si>
  <si>
    <t>1/(minX + 5)²</t>
  </si>
  <si>
    <t>coeficiente de tempo restante</t>
  </si>
  <si>
    <t>OLHAR ANALISE</t>
  </si>
  <si>
    <t>SUBSTITUI</t>
  </si>
  <si>
    <t>(6 / (k['x'] + 5)) ** 2</t>
  </si>
  <si>
    <t>2 * c(t)</t>
  </si>
  <si>
    <t>q * 2 * c(t)</t>
  </si>
  <si>
    <t>q=interdis. faltantes, t=tempo restante para acabar o curso</t>
  </si>
  <si>
    <t>c(t)</t>
  </si>
  <si>
    <t>((6 / (k['x'] + 5)) ** 2)</t>
  </si>
  <si>
    <t>O QUE</t>
  </si>
  <si>
    <t xml:space="preserve"> </t>
  </si>
  <si>
    <t xml:space="preserve"> * i(x)</t>
  </si>
  <si>
    <t xml:space="preserve"> ** i(x)</t>
  </si>
  <si>
    <t>t,x=tempo restante para acabar curso</t>
  </si>
  <si>
    <t>t,x=tempo restante para acabar curso, c(x)</t>
  </si>
  <si>
    <t>Aluno prefere o professor</t>
  </si>
  <si>
    <t>Substitui a pontuaçao de dificuldade do professor</t>
  </si>
  <si>
    <t>Aluno NÃO prefere o professor</t>
  </si>
  <si>
    <t>Gene recessivo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</si>
</sst>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"/>
    <numFmt numFmtId="165" formatCode="_-* #,##0.000_-;\-* #,##0.0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B05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0" fillId="0" borderId="0" xfId="0" applyFont="1"/>
    <xf numFmtId="16" fontId="0" fillId="0" borderId="0" xfId="0" applyNumberFormat="1"/>
    <xf numFmtId="0" fontId="3" fillId="0" borderId="0" xfId="0" applyFont="1"/>
    <xf numFmtId="0" fontId="6" fillId="0" borderId="0" xfId="0" applyFont="1"/>
    <xf numFmtId="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0" fontId="2" fillId="0" borderId="0" xfId="0" quotePrefix="1" applyFont="1"/>
    <xf numFmtId="0" fontId="7" fillId="0" borderId="0" xfId="0" applyFont="1"/>
    <xf numFmtId="165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 vertical="center"/>
    </xf>
  </cellXfs>
  <cellStyles count="2">
    <cellStyle name="Normal" xfId="0" builtinId="0"/>
    <cellStyle name="Vírgula" xfId="1" builtin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25</xdr:row>
      <xdr:rowOff>60960</xdr:rowOff>
    </xdr:from>
    <xdr:to>
      <xdr:col>11</xdr:col>
      <xdr:colOff>365760</xdr:colOff>
      <xdr:row>30</xdr:row>
      <xdr:rowOff>38100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7843B2BA-56AD-4BCF-9958-425A1F81046B}"/>
            </a:ext>
          </a:extLst>
        </xdr:cNvPr>
        <xdr:cNvSpPr/>
      </xdr:nvSpPr>
      <xdr:spPr>
        <a:xfrm>
          <a:off x="11064240" y="4632960"/>
          <a:ext cx="2522220" cy="891540"/>
        </a:xfrm>
        <a:prstGeom prst="snip2Diag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Analisar</a:t>
          </a:r>
          <a:r>
            <a:rPr lang="pt-BR" sz="1100" baseline="0"/>
            <a:t> uma tabela com os valores de Dependencias futuras (E) e Dificuldade do professor (J)</a:t>
          </a:r>
        </a:p>
      </xdr:txBody>
    </xdr:sp>
    <xdr:clientData/>
  </xdr:twoCellAnchor>
  <xdr:twoCellAnchor>
    <xdr:from>
      <xdr:col>5</xdr:col>
      <xdr:colOff>99060</xdr:colOff>
      <xdr:row>27</xdr:row>
      <xdr:rowOff>114300</xdr:rowOff>
    </xdr:from>
    <xdr:to>
      <xdr:col>5</xdr:col>
      <xdr:colOff>3025140</xdr:colOff>
      <xdr:row>31</xdr:row>
      <xdr:rowOff>0</xdr:rowOff>
    </xdr:to>
    <xdr:sp macro="" textlink="">
      <xdr:nvSpPr>
        <xdr:cNvPr id="3" name="Texto Explicativo: Linha com Borda e Ênfase 2">
          <a:extLst>
            <a:ext uri="{FF2B5EF4-FFF2-40B4-BE49-F238E27FC236}">
              <a16:creationId xmlns:a16="http://schemas.microsoft.com/office/drawing/2014/main" id="{00BB6637-B30B-44E6-9DFC-D14C68A544E3}"/>
            </a:ext>
          </a:extLst>
        </xdr:cNvPr>
        <xdr:cNvSpPr/>
      </xdr:nvSpPr>
      <xdr:spPr>
        <a:xfrm>
          <a:off x="6522720" y="5052060"/>
          <a:ext cx="2926080" cy="617220"/>
        </a:xfrm>
        <a:prstGeom prst="accentBorderCallout1">
          <a:avLst>
            <a:gd name="adj1" fmla="val 40972"/>
            <a:gd name="adj2" fmla="val -2083"/>
            <a:gd name="adj3" fmla="val -239992"/>
            <a:gd name="adj4" fmla="val -12209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Esses</a:t>
          </a:r>
          <a:r>
            <a:rPr lang="pt-BR" sz="1100" baseline="0"/>
            <a:t> calculos precisam diferenciar o curso atual e o quanto de tempo em que se pode completar o curso</a:t>
          </a:r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200-000000000000}" autoFormatId="16" applyNumberFormats="0" applyBorderFormats="0" applyFontFormats="0" applyPatternFormats="0" applyAlignmentFormats="0" applyWidthHeightFormats="0">
  <queryTableRefresh nextId="7">
    <queryTableFields count="5">
      <queryTableField id="1" name="id" tableColumnId="1"/>
      <queryTableField id="3" name="name" tableColumnId="3"/>
      <queryTableField id="4" name="score" tableColumnId="4"/>
      <queryTableField id="5" name="extra" tableColumnId="5"/>
      <queryTableField id="6" name="obs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DC1F69-E9B1-49B2-A35C-CC5ABA5A47D9}" name="Tabela2" displayName="Tabela2" ref="A1:F27" totalsRowShown="0">
  <autoFilter ref="A1:F27" xr:uid="{3FEC0178-1247-4B28-9D3B-C95E8F1F1962}"/>
  <tableColumns count="6">
    <tableColumn id="1" xr3:uid="{B69BAD82-767D-44C4-83B6-7F7BCFC42722}" name="id"/>
    <tableColumn id="2" xr3:uid="{9BF01684-A04A-4E47-8BAA-61073163EB6F}" name="status"/>
    <tableColumn id="3" xr3:uid="{90E807C1-B101-4868-917C-AC446D4077BE}" name="name"/>
    <tableColumn id="4" xr3:uid="{D2376D7B-EF09-4FE7-A3F2-102C8004FAEF}" name="score"/>
    <tableColumn id="5" xr3:uid="{9DC4EC44-E562-4256-9F04-22E6E748B8B2}" name="extra"/>
    <tableColumn id="6" xr3:uid="{A56A1E24-2186-478A-B708-89FCA46E924C}" name="ob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9231B-1D80-4B03-85AB-1797B42D667D}" name="condicoes" displayName="condicoes" ref="A1:E27" tableType="queryTable" totalsRowShown="0">
  <autoFilter ref="A1:E27" xr:uid="{040D56C3-DA3B-44FE-A660-012EF5D050C2}">
    <filterColumn colId="0">
      <customFilters>
        <customFilter operator="notEqual" val=" "/>
      </customFilters>
    </filterColumn>
  </autoFilter>
  <tableColumns count="5">
    <tableColumn id="1" xr3:uid="{D82F0CDA-0F04-4DE8-AAC8-7A0A6226BB47}" uniqueName="1" name="id" queryTableFieldId="1" dataDxfId="3"/>
    <tableColumn id="3" xr3:uid="{40B9C788-1C5C-4CB0-A461-86D95BC74279}" uniqueName="3" name="name" queryTableFieldId="3" dataDxfId="2"/>
    <tableColumn id="4" xr3:uid="{79C12A1D-CACA-427A-B55A-A191168111EA}" uniqueName="4" name="score" queryTableFieldId="4"/>
    <tableColumn id="5" xr3:uid="{CFC3A9E1-8589-40D8-9AAD-CC350910CF5F}" uniqueName="5" name="extra" queryTableFieldId="5" dataDxfId="1"/>
    <tableColumn id="6" xr3:uid="{FE4DC746-08CA-4103-8E51-2266448FFCB8}" uniqueName="6" name="obs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6EFD9-D97E-4C5F-BB21-C9432F1CBA7E}">
  <sheetPr codeName="Planilha4"/>
  <dimension ref="A1:M20"/>
  <sheetViews>
    <sheetView workbookViewId="0">
      <selection activeCell="F11" sqref="F11"/>
    </sheetView>
  </sheetViews>
  <sheetFormatPr defaultRowHeight="14.4" x14ac:dyDescent="0.3"/>
  <cols>
    <col min="2" max="2" width="8.88671875" style="7"/>
    <col min="5" max="5" width="8.88671875" style="8"/>
    <col min="7" max="13" width="8.88671875" style="8"/>
  </cols>
  <sheetData>
    <row r="1" spans="1:13" x14ac:dyDescent="0.3">
      <c r="B1" s="7">
        <v>1</v>
      </c>
      <c r="C1" s="7">
        <f>MAX(B2:B11)</f>
        <v>0.9</v>
      </c>
      <c r="D1" s="7">
        <v>1</v>
      </c>
      <c r="E1" s="8">
        <v>2</v>
      </c>
      <c r="F1" s="7">
        <f>MAX(E2:E11)</f>
        <v>2.7777777777777776E-2</v>
      </c>
    </row>
    <row r="2" spans="1:13" x14ac:dyDescent="0.3">
      <c r="A2">
        <v>10</v>
      </c>
      <c r="B2" s="7">
        <f>1 - 1/(POWER(ABS(11-A2),B$1))</f>
        <v>0</v>
      </c>
      <c r="C2" s="7">
        <f>B2/C$1</f>
        <v>0</v>
      </c>
      <c r="D2" s="7">
        <f>1 - 1/(POWER(ABS(11-A2),D$1))</f>
        <v>0</v>
      </c>
      <c r="E2" s="8">
        <f>1/(POWER(A2+5,E$1))</f>
        <v>4.4444444444444444E-3</v>
      </c>
      <c r="F2" s="7">
        <f>E2/F$1</f>
        <v>0.16</v>
      </c>
      <c r="G2" s="8">
        <f>1/A2</f>
        <v>0.1</v>
      </c>
      <c r="H2" s="8">
        <f>1/(A2*A2)</f>
        <v>0.01</v>
      </c>
    </row>
    <row r="3" spans="1:13" x14ac:dyDescent="0.3">
      <c r="A3">
        <v>9</v>
      </c>
      <c r="B3" s="7">
        <f t="shared" ref="B3:B11" si="0">1 - 1/(POWER(ABS(11-A3),B$1))</f>
        <v>0.5</v>
      </c>
      <c r="C3" s="7">
        <f t="shared" ref="C3:C11" si="1">B3/C$1</f>
        <v>0.55555555555555558</v>
      </c>
      <c r="D3" s="7">
        <f t="shared" ref="D3:D11" si="2">1 - 1/(POWER(ABS(11-A3),D$1))</f>
        <v>0.5</v>
      </c>
      <c r="E3" s="8">
        <f t="shared" ref="E3:E11" si="3">1/(POWER(A3+5,E$1))</f>
        <v>5.1020408163265302E-3</v>
      </c>
      <c r="F3" s="7">
        <f t="shared" ref="F3:F11" si="4">E3/F$1</f>
        <v>0.18367346938775508</v>
      </c>
      <c r="G3" s="8">
        <f t="shared" ref="G3:G11" si="5">1/A3</f>
        <v>0.1111111111111111</v>
      </c>
      <c r="H3" s="8">
        <f t="shared" ref="H3:H11" si="6">1/(A3*A3)</f>
        <v>1.2345679012345678E-2</v>
      </c>
    </row>
    <row r="4" spans="1:13" x14ac:dyDescent="0.3">
      <c r="A4">
        <v>8</v>
      </c>
      <c r="B4" s="7">
        <f t="shared" si="0"/>
        <v>0.66666666666666674</v>
      </c>
      <c r="C4" s="7">
        <f t="shared" si="1"/>
        <v>0.74074074074074081</v>
      </c>
      <c r="D4" s="7">
        <f t="shared" si="2"/>
        <v>0.66666666666666674</v>
      </c>
      <c r="E4" s="8">
        <f t="shared" si="3"/>
        <v>5.9171597633136093E-3</v>
      </c>
      <c r="F4" s="7">
        <f t="shared" si="4"/>
        <v>0.21301775147928995</v>
      </c>
      <c r="G4" s="8">
        <f t="shared" si="5"/>
        <v>0.125</v>
      </c>
      <c r="H4" s="8">
        <f t="shared" si="6"/>
        <v>1.5625E-2</v>
      </c>
      <c r="K4" s="13" t="s">
        <v>100</v>
      </c>
      <c r="L4" s="12" t="s">
        <v>101</v>
      </c>
      <c r="M4" s="12"/>
    </row>
    <row r="5" spans="1:13" x14ac:dyDescent="0.3">
      <c r="A5">
        <v>7</v>
      </c>
      <c r="B5" s="7">
        <f t="shared" si="0"/>
        <v>0.75</v>
      </c>
      <c r="C5" s="7">
        <f t="shared" si="1"/>
        <v>0.83333333333333326</v>
      </c>
      <c r="D5" s="7">
        <f t="shared" si="2"/>
        <v>0.75</v>
      </c>
      <c r="E5" s="8">
        <f t="shared" si="3"/>
        <v>6.9444444444444441E-3</v>
      </c>
      <c r="F5" s="7">
        <f t="shared" si="4"/>
        <v>0.25</v>
      </c>
      <c r="G5" s="8">
        <f t="shared" si="5"/>
        <v>0.14285714285714285</v>
      </c>
      <c r="H5" s="8">
        <f t="shared" si="6"/>
        <v>2.0408163265306121E-2</v>
      </c>
      <c r="K5" s="13"/>
      <c r="L5" s="12" t="s">
        <v>102</v>
      </c>
      <c r="M5" s="12"/>
    </row>
    <row r="6" spans="1:13" x14ac:dyDescent="0.3">
      <c r="A6">
        <v>6</v>
      </c>
      <c r="B6" s="7">
        <f t="shared" si="0"/>
        <v>0.8</v>
      </c>
      <c r="C6" s="7">
        <f t="shared" si="1"/>
        <v>0.88888888888888895</v>
      </c>
      <c r="D6" s="7">
        <f t="shared" si="2"/>
        <v>0.8</v>
      </c>
      <c r="E6" s="8">
        <f t="shared" si="3"/>
        <v>8.2644628099173556E-3</v>
      </c>
      <c r="F6" s="7">
        <f t="shared" si="4"/>
        <v>0.2975206611570248</v>
      </c>
      <c r="G6" s="8">
        <f t="shared" si="5"/>
        <v>0.16666666666666666</v>
      </c>
      <c r="H6" s="8">
        <f t="shared" si="6"/>
        <v>2.7777777777777776E-2</v>
      </c>
    </row>
    <row r="7" spans="1:13" x14ac:dyDescent="0.3">
      <c r="A7">
        <v>5</v>
      </c>
      <c r="B7" s="7">
        <f t="shared" si="0"/>
        <v>0.83333333333333337</v>
      </c>
      <c r="C7" s="7">
        <f t="shared" si="1"/>
        <v>0.92592592592592593</v>
      </c>
      <c r="D7" s="7">
        <f t="shared" si="2"/>
        <v>0.83333333333333337</v>
      </c>
      <c r="E7" s="8">
        <f t="shared" si="3"/>
        <v>0.01</v>
      </c>
      <c r="F7" s="7">
        <f t="shared" si="4"/>
        <v>0.36000000000000004</v>
      </c>
      <c r="G7" s="8">
        <f t="shared" si="5"/>
        <v>0.2</v>
      </c>
      <c r="H7" s="8">
        <f t="shared" si="6"/>
        <v>0.04</v>
      </c>
      <c r="K7" s="12" t="s">
        <v>106</v>
      </c>
      <c r="L7" s="12"/>
      <c r="M7" s="12"/>
    </row>
    <row r="8" spans="1:13" x14ac:dyDescent="0.3">
      <c r="A8">
        <v>4</v>
      </c>
      <c r="B8" s="7">
        <f t="shared" si="0"/>
        <v>0.85714285714285721</v>
      </c>
      <c r="C8" s="7">
        <f t="shared" si="1"/>
        <v>0.95238095238095244</v>
      </c>
      <c r="D8" s="7">
        <f t="shared" si="2"/>
        <v>0.85714285714285721</v>
      </c>
      <c r="E8" s="8">
        <f t="shared" si="3"/>
        <v>1.2345679012345678E-2</v>
      </c>
      <c r="F8" s="7">
        <f t="shared" si="4"/>
        <v>0.44444444444444442</v>
      </c>
      <c r="G8" s="8">
        <f t="shared" si="5"/>
        <v>0.25</v>
      </c>
      <c r="H8" s="8">
        <f t="shared" si="6"/>
        <v>6.25E-2</v>
      </c>
    </row>
    <row r="9" spans="1:13" x14ac:dyDescent="0.3">
      <c r="A9">
        <v>3</v>
      </c>
      <c r="B9" s="7">
        <f t="shared" si="0"/>
        <v>0.875</v>
      </c>
      <c r="C9" s="7">
        <f t="shared" si="1"/>
        <v>0.97222222222222221</v>
      </c>
      <c r="D9" s="7">
        <f t="shared" si="2"/>
        <v>0.875</v>
      </c>
      <c r="E9" s="8">
        <f t="shared" si="3"/>
        <v>1.5625E-2</v>
      </c>
      <c r="F9" s="7">
        <f t="shared" si="4"/>
        <v>0.5625</v>
      </c>
      <c r="G9" s="8">
        <f t="shared" si="5"/>
        <v>0.33333333333333331</v>
      </c>
      <c r="H9" s="8">
        <f t="shared" si="6"/>
        <v>0.1111111111111111</v>
      </c>
    </row>
    <row r="10" spans="1:13" x14ac:dyDescent="0.3">
      <c r="A10">
        <v>2</v>
      </c>
      <c r="B10" s="7">
        <f t="shared" si="0"/>
        <v>0.88888888888888884</v>
      </c>
      <c r="C10" s="7">
        <f t="shared" si="1"/>
        <v>0.98765432098765427</v>
      </c>
      <c r="D10" s="7">
        <f t="shared" si="2"/>
        <v>0.88888888888888884</v>
      </c>
      <c r="E10" s="8">
        <f t="shared" si="3"/>
        <v>2.0408163265306121E-2</v>
      </c>
      <c r="F10" s="7">
        <f t="shared" si="4"/>
        <v>0.73469387755102034</v>
      </c>
      <c r="G10" s="8">
        <f t="shared" si="5"/>
        <v>0.5</v>
      </c>
      <c r="H10" s="8">
        <f t="shared" si="6"/>
        <v>0.25</v>
      </c>
    </row>
    <row r="11" spans="1:13" x14ac:dyDescent="0.3">
      <c r="A11">
        <v>1</v>
      </c>
      <c r="B11" s="7">
        <f t="shared" si="0"/>
        <v>0.9</v>
      </c>
      <c r="C11" s="7">
        <f t="shared" si="1"/>
        <v>1</v>
      </c>
      <c r="D11" s="7">
        <f t="shared" si="2"/>
        <v>0.9</v>
      </c>
      <c r="E11" s="8">
        <f t="shared" si="3"/>
        <v>2.7777777777777776E-2</v>
      </c>
      <c r="F11" s="7">
        <f t="shared" si="4"/>
        <v>1</v>
      </c>
      <c r="G11" s="8">
        <f t="shared" si="5"/>
        <v>1</v>
      </c>
      <c r="H11" s="8">
        <f t="shared" si="6"/>
        <v>1</v>
      </c>
    </row>
    <row r="12" spans="1:13" x14ac:dyDescent="0.3">
      <c r="C12" s="7"/>
      <c r="D12" s="7"/>
      <c r="F12" t="s">
        <v>100</v>
      </c>
    </row>
    <row r="13" spans="1:13" x14ac:dyDescent="0.3">
      <c r="A13">
        <v>8</v>
      </c>
      <c r="B13" s="7">
        <f t="shared" ref="B13:B20" si="7">1/(POWER(A13,B$1))</f>
        <v>0.125</v>
      </c>
      <c r="C13" s="7">
        <f t="shared" ref="C13:C20" si="8">(B13+C$1)/(C$1+1)</f>
        <v>0.53947368421052633</v>
      </c>
      <c r="D13" s="7">
        <f t="shared" ref="D13:D20" si="9">1/(POWER(A13,D$1))</f>
        <v>0.125</v>
      </c>
    </row>
    <row r="14" spans="1:13" x14ac:dyDescent="0.3">
      <c r="A14">
        <v>7</v>
      </c>
      <c r="B14" s="7">
        <f t="shared" si="7"/>
        <v>0.14285714285714285</v>
      </c>
      <c r="C14" s="7">
        <f t="shared" si="8"/>
        <v>0.54887218045112784</v>
      </c>
      <c r="D14" s="7">
        <f t="shared" si="9"/>
        <v>0.14285714285714285</v>
      </c>
    </row>
    <row r="15" spans="1:13" x14ac:dyDescent="0.3">
      <c r="A15">
        <v>6</v>
      </c>
      <c r="B15" s="7">
        <f t="shared" si="7"/>
        <v>0.16666666666666666</v>
      </c>
      <c r="C15" s="7">
        <f t="shared" si="8"/>
        <v>0.56140350877192979</v>
      </c>
      <c r="D15" s="7">
        <f t="shared" si="9"/>
        <v>0.16666666666666666</v>
      </c>
    </row>
    <row r="16" spans="1:13" x14ac:dyDescent="0.3">
      <c r="A16">
        <v>5</v>
      </c>
      <c r="B16" s="7">
        <f t="shared" si="7"/>
        <v>0.2</v>
      </c>
      <c r="C16" s="7">
        <f t="shared" si="8"/>
        <v>0.57894736842105265</v>
      </c>
      <c r="D16" s="7">
        <f t="shared" si="9"/>
        <v>0.2</v>
      </c>
    </row>
    <row r="17" spans="1:4" x14ac:dyDescent="0.3">
      <c r="A17">
        <v>4</v>
      </c>
      <c r="B17" s="7">
        <f t="shared" si="7"/>
        <v>0.25</v>
      </c>
      <c r="C17" s="7">
        <f t="shared" si="8"/>
        <v>0.60526315789473684</v>
      </c>
      <c r="D17" s="7">
        <f t="shared" si="9"/>
        <v>0.25</v>
      </c>
    </row>
    <row r="18" spans="1:4" x14ac:dyDescent="0.3">
      <c r="A18">
        <v>3</v>
      </c>
      <c r="B18" s="7">
        <f t="shared" si="7"/>
        <v>0.33333333333333331</v>
      </c>
      <c r="C18" s="7">
        <f t="shared" si="8"/>
        <v>0.64912280701754388</v>
      </c>
      <c r="D18" s="7">
        <f t="shared" si="9"/>
        <v>0.33333333333333331</v>
      </c>
    </row>
    <row r="19" spans="1:4" x14ac:dyDescent="0.3">
      <c r="A19">
        <v>2</v>
      </c>
      <c r="B19" s="7">
        <f t="shared" si="7"/>
        <v>0.5</v>
      </c>
      <c r="C19" s="7">
        <f t="shared" si="8"/>
        <v>0.73684210526315785</v>
      </c>
      <c r="D19" s="7">
        <f t="shared" si="9"/>
        <v>0.5</v>
      </c>
    </row>
    <row r="20" spans="1:4" x14ac:dyDescent="0.3">
      <c r="A20">
        <v>1</v>
      </c>
      <c r="B20" s="7">
        <f t="shared" si="7"/>
        <v>1</v>
      </c>
      <c r="C20" s="7">
        <f t="shared" si="8"/>
        <v>1</v>
      </c>
      <c r="D20" s="7">
        <f t="shared" si="9"/>
        <v>1</v>
      </c>
    </row>
  </sheetData>
  <mergeCells count="4">
    <mergeCell ref="L5:M5"/>
    <mergeCell ref="L4:M4"/>
    <mergeCell ref="K4:K5"/>
    <mergeCell ref="K7:M7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63"/>
  <sheetViews>
    <sheetView tabSelected="1" topLeftCell="A2" workbookViewId="0">
      <selection activeCell="D17" sqref="D17"/>
    </sheetView>
  </sheetViews>
  <sheetFormatPr defaultRowHeight="14.4" x14ac:dyDescent="0.3"/>
  <cols>
    <col min="1" max="1" width="4.44140625" customWidth="1"/>
    <col min="2" max="2" width="9.88671875" bestFit="1" customWidth="1"/>
    <col min="3" max="3" width="28.33203125" bestFit="1" customWidth="1"/>
    <col min="4" max="4" width="20.109375" bestFit="1" customWidth="1"/>
    <col min="5" max="5" width="30.88671875" customWidth="1"/>
    <col min="6" max="6" width="58.109375" bestFit="1" customWidth="1"/>
    <col min="8" max="8" width="4.44140625" customWidth="1"/>
    <col min="9" max="9" width="9.88671875" bestFit="1" customWidth="1"/>
  </cols>
  <sheetData>
    <row r="1" spans="1:10" x14ac:dyDescent="0.3">
      <c r="A1" s="4" t="s">
        <v>81</v>
      </c>
      <c r="B1" t="s">
        <v>86</v>
      </c>
      <c r="C1" t="s">
        <v>82</v>
      </c>
      <c r="D1" t="s">
        <v>83</v>
      </c>
      <c r="E1" t="s">
        <v>84</v>
      </c>
      <c r="F1" t="s">
        <v>85</v>
      </c>
      <c r="H1" t="s">
        <v>48</v>
      </c>
    </row>
    <row r="2" spans="1:10" x14ac:dyDescent="0.3">
      <c r="A2" s="5" t="s">
        <v>0</v>
      </c>
      <c r="B2" t="s">
        <v>26</v>
      </c>
      <c r="C2" t="s">
        <v>27</v>
      </c>
      <c r="D2" s="1" t="s">
        <v>90</v>
      </c>
      <c r="F2" t="s">
        <v>50</v>
      </c>
    </row>
    <row r="3" spans="1:10" x14ac:dyDescent="0.3">
      <c r="A3" s="5" t="s">
        <v>1</v>
      </c>
      <c r="B3" t="s">
        <v>28</v>
      </c>
      <c r="C3" s="2" t="s">
        <v>29</v>
      </c>
      <c r="D3" s="1" t="s">
        <v>63</v>
      </c>
      <c r="E3" t="s">
        <v>30</v>
      </c>
      <c r="F3" t="s">
        <v>52</v>
      </c>
      <c r="J3" t="s">
        <v>51</v>
      </c>
    </row>
    <row r="4" spans="1:10" x14ac:dyDescent="0.3">
      <c r="A4" s="5" t="s">
        <v>3</v>
      </c>
      <c r="B4" t="s">
        <v>31</v>
      </c>
      <c r="C4" t="s">
        <v>32</v>
      </c>
      <c r="D4">
        <v>-50</v>
      </c>
      <c r="H4" t="s">
        <v>34</v>
      </c>
      <c r="I4" s="9" t="s">
        <v>26</v>
      </c>
      <c r="J4" s="10" t="s">
        <v>47</v>
      </c>
    </row>
    <row r="5" spans="1:10" x14ac:dyDescent="0.3">
      <c r="A5" s="5" t="s">
        <v>2</v>
      </c>
      <c r="B5" t="s">
        <v>31</v>
      </c>
      <c r="C5" t="s">
        <v>33</v>
      </c>
      <c r="D5">
        <v>-100</v>
      </c>
      <c r="I5" s="9" t="s">
        <v>31</v>
      </c>
      <c r="J5" s="9">
        <v>-100</v>
      </c>
    </row>
    <row r="6" spans="1:10" x14ac:dyDescent="0.3">
      <c r="A6" s="5" t="s">
        <v>4</v>
      </c>
      <c r="B6" t="s">
        <v>38</v>
      </c>
      <c r="C6" t="s">
        <v>41</v>
      </c>
      <c r="D6" t="s">
        <v>49</v>
      </c>
      <c r="E6" t="s">
        <v>42</v>
      </c>
      <c r="I6" t="s">
        <v>28</v>
      </c>
      <c r="J6">
        <v>-40</v>
      </c>
    </row>
    <row r="7" spans="1:10" x14ac:dyDescent="0.3">
      <c r="A7" s="5" t="s">
        <v>5</v>
      </c>
      <c r="B7" s="2" t="s">
        <v>39</v>
      </c>
      <c r="C7" t="s">
        <v>43</v>
      </c>
      <c r="D7">
        <v>2</v>
      </c>
      <c r="I7" t="s">
        <v>36</v>
      </c>
      <c r="J7">
        <v>-5</v>
      </c>
    </row>
    <row r="8" spans="1:10" x14ac:dyDescent="0.3">
      <c r="A8" s="5" t="s">
        <v>6</v>
      </c>
      <c r="B8" t="s">
        <v>40</v>
      </c>
      <c r="C8" t="s">
        <v>45</v>
      </c>
      <c r="D8">
        <v>1</v>
      </c>
      <c r="H8" t="s">
        <v>35</v>
      </c>
      <c r="I8" t="s">
        <v>37</v>
      </c>
      <c r="J8">
        <v>10</v>
      </c>
    </row>
    <row r="9" spans="1:10" x14ac:dyDescent="0.3">
      <c r="A9" s="5" t="s">
        <v>7</v>
      </c>
      <c r="B9" t="s">
        <v>39</v>
      </c>
      <c r="C9" t="s">
        <v>44</v>
      </c>
      <c r="D9">
        <v>2</v>
      </c>
      <c r="I9" t="s">
        <v>38</v>
      </c>
      <c r="J9">
        <v>7</v>
      </c>
    </row>
    <row r="10" spans="1:10" x14ac:dyDescent="0.3">
      <c r="A10" s="5" t="s">
        <v>8</v>
      </c>
      <c r="B10" t="s">
        <v>40</v>
      </c>
      <c r="C10" t="s">
        <v>46</v>
      </c>
      <c r="D10">
        <v>1</v>
      </c>
      <c r="I10" t="s">
        <v>39</v>
      </c>
      <c r="J10">
        <v>3</v>
      </c>
    </row>
    <row r="11" spans="1:10" x14ac:dyDescent="0.3">
      <c r="A11" t="s">
        <v>9</v>
      </c>
      <c r="B11" t="s">
        <v>36</v>
      </c>
      <c r="C11" t="s">
        <v>53</v>
      </c>
      <c r="D11" t="s">
        <v>71</v>
      </c>
      <c r="E11" t="s">
        <v>55</v>
      </c>
      <c r="F11" t="s">
        <v>54</v>
      </c>
      <c r="I11" t="s">
        <v>40</v>
      </c>
      <c r="J11">
        <v>1</v>
      </c>
    </row>
    <row r="12" spans="1:10" x14ac:dyDescent="0.3">
      <c r="A12" t="s">
        <v>10</v>
      </c>
      <c r="B12" t="s">
        <v>39</v>
      </c>
      <c r="C12" t="s">
        <v>64</v>
      </c>
      <c r="D12" t="s">
        <v>108</v>
      </c>
      <c r="E12" t="s">
        <v>109</v>
      </c>
      <c r="F12" t="s">
        <v>66</v>
      </c>
    </row>
    <row r="13" spans="1:10" x14ac:dyDescent="0.3">
      <c r="A13" s="5" t="s">
        <v>11</v>
      </c>
      <c r="B13" t="s">
        <v>31</v>
      </c>
      <c r="C13" t="s">
        <v>69</v>
      </c>
      <c r="D13">
        <v>-100</v>
      </c>
      <c r="H13" t="s">
        <v>75</v>
      </c>
    </row>
    <row r="14" spans="1:10" x14ac:dyDescent="0.3">
      <c r="A14" s="5" t="s">
        <v>12</v>
      </c>
      <c r="B14" t="s">
        <v>39</v>
      </c>
      <c r="C14" t="s">
        <v>70</v>
      </c>
      <c r="D14" t="s">
        <v>72</v>
      </c>
      <c r="E14" t="s">
        <v>91</v>
      </c>
      <c r="H14" t="s">
        <v>56</v>
      </c>
      <c r="I14" t="s">
        <v>57</v>
      </c>
      <c r="J14">
        <v>-3</v>
      </c>
    </row>
    <row r="15" spans="1:10" x14ac:dyDescent="0.3">
      <c r="A15" t="s">
        <v>13</v>
      </c>
      <c r="B15" t="s">
        <v>40</v>
      </c>
      <c r="C15" t="s">
        <v>73</v>
      </c>
      <c r="D15" s="2" t="s">
        <v>74</v>
      </c>
      <c r="F15" s="3"/>
      <c r="I15" t="s">
        <v>28</v>
      </c>
      <c r="J15">
        <v>1</v>
      </c>
    </row>
    <row r="16" spans="1:10" x14ac:dyDescent="0.3">
      <c r="A16" s="5" t="s">
        <v>14</v>
      </c>
      <c r="B16" t="s">
        <v>39</v>
      </c>
      <c r="C16" t="s">
        <v>77</v>
      </c>
      <c r="D16">
        <v>5</v>
      </c>
      <c r="I16" t="s">
        <v>58</v>
      </c>
      <c r="J16">
        <v>3</v>
      </c>
    </row>
    <row r="17" spans="1:10" x14ac:dyDescent="0.3">
      <c r="A17" s="5" t="s">
        <v>15</v>
      </c>
      <c r="B17" t="s">
        <v>28</v>
      </c>
      <c r="C17" t="s">
        <v>78</v>
      </c>
      <c r="D17">
        <v>-10</v>
      </c>
    </row>
    <row r="18" spans="1:10" x14ac:dyDescent="0.3">
      <c r="A18" t="s">
        <v>16</v>
      </c>
      <c r="B18" s="2" t="s">
        <v>38</v>
      </c>
      <c r="C18" t="s">
        <v>79</v>
      </c>
      <c r="D18">
        <v>7</v>
      </c>
      <c r="H18" t="s">
        <v>76</v>
      </c>
    </row>
    <row r="19" spans="1:10" x14ac:dyDescent="0.3">
      <c r="A19" t="s">
        <v>17</v>
      </c>
      <c r="B19" t="s">
        <v>39</v>
      </c>
      <c r="C19" t="s">
        <v>95</v>
      </c>
      <c r="D19">
        <v>3</v>
      </c>
      <c r="H19" t="s">
        <v>59</v>
      </c>
      <c r="I19" t="s">
        <v>60</v>
      </c>
      <c r="J19">
        <v>2</v>
      </c>
    </row>
    <row r="20" spans="1:10" x14ac:dyDescent="0.3">
      <c r="A20" t="s">
        <v>18</v>
      </c>
      <c r="B20" t="s">
        <v>39</v>
      </c>
      <c r="C20" t="s">
        <v>96</v>
      </c>
      <c r="D20" t="s">
        <v>107</v>
      </c>
      <c r="E20" t="s">
        <v>116</v>
      </c>
      <c r="F20" t="s">
        <v>97</v>
      </c>
      <c r="I20" t="s">
        <v>61</v>
      </c>
      <c r="J20">
        <v>1</v>
      </c>
    </row>
    <row r="21" spans="1:10" x14ac:dyDescent="0.3">
      <c r="A21" t="s">
        <v>19</v>
      </c>
      <c r="B21" t="s">
        <v>40</v>
      </c>
      <c r="C21" t="s">
        <v>98</v>
      </c>
      <c r="D21" t="s">
        <v>107</v>
      </c>
      <c r="E21" t="s">
        <v>117</v>
      </c>
      <c r="F21" t="s">
        <v>99</v>
      </c>
      <c r="I21" t="s">
        <v>62</v>
      </c>
      <c r="J21">
        <v>0</v>
      </c>
    </row>
    <row r="22" spans="1:10" x14ac:dyDescent="0.3">
      <c r="A22" t="s">
        <v>20</v>
      </c>
      <c r="B22" t="s">
        <v>39</v>
      </c>
      <c r="C22" t="s">
        <v>118</v>
      </c>
      <c r="D22" s="2">
        <v>3</v>
      </c>
      <c r="F22" t="s">
        <v>119</v>
      </c>
    </row>
    <row r="23" spans="1:10" x14ac:dyDescent="0.3">
      <c r="A23" t="s">
        <v>21</v>
      </c>
      <c r="B23" t="s">
        <v>36</v>
      </c>
      <c r="C23" t="s">
        <v>120</v>
      </c>
      <c r="D23">
        <v>-5</v>
      </c>
      <c r="H23" t="s">
        <v>103</v>
      </c>
    </row>
    <row r="24" spans="1:10" x14ac:dyDescent="0.3">
      <c r="A24" s="5" t="s">
        <v>22</v>
      </c>
      <c r="B24" t="s">
        <v>31</v>
      </c>
      <c r="C24" t="s">
        <v>121</v>
      </c>
      <c r="D24">
        <v>-50</v>
      </c>
      <c r="E24" s="11"/>
      <c r="H24" t="s">
        <v>100</v>
      </c>
      <c r="I24" t="s">
        <v>104</v>
      </c>
    </row>
    <row r="25" spans="1:10" x14ac:dyDescent="0.3">
      <c r="A25" t="s">
        <v>23</v>
      </c>
    </row>
    <row r="26" spans="1:10" x14ac:dyDescent="0.3">
      <c r="A26" t="s">
        <v>24</v>
      </c>
    </row>
    <row r="27" spans="1:10" x14ac:dyDescent="0.3">
      <c r="A27" t="s">
        <v>25</v>
      </c>
    </row>
    <row r="38" spans="1:4" x14ac:dyDescent="0.3">
      <c r="A38" t="s">
        <v>0</v>
      </c>
      <c r="B38" t="s">
        <v>80</v>
      </c>
      <c r="C38" t="str">
        <f>_xlfn.CONCAT("'",A38,"'")</f>
        <v>'A'</v>
      </c>
      <c r="D38" t="str">
        <f>_xlfn.CONCAT(A38:C38)</f>
        <v>A = 'A'</v>
      </c>
    </row>
    <row r="39" spans="1:4" x14ac:dyDescent="0.3">
      <c r="A39" t="s">
        <v>1</v>
      </c>
      <c r="B39" t="s">
        <v>80</v>
      </c>
      <c r="C39" t="str">
        <f t="shared" ref="C39:C63" si="0">_xlfn.CONCAT("'",A39,"'")</f>
        <v>'B'</v>
      </c>
      <c r="D39" t="str">
        <f>_xlfn.CONCAT(A39:C39)</f>
        <v>B = 'B'</v>
      </c>
    </row>
    <row r="40" spans="1:4" x14ac:dyDescent="0.3">
      <c r="A40" t="s">
        <v>3</v>
      </c>
      <c r="B40" t="s">
        <v>80</v>
      </c>
      <c r="C40" t="str">
        <f t="shared" si="0"/>
        <v>'C'</v>
      </c>
      <c r="D40" t="str">
        <f>_xlfn.CONCAT(A40:C40)</f>
        <v>C = 'C'</v>
      </c>
    </row>
    <row r="41" spans="1:4" x14ac:dyDescent="0.3">
      <c r="A41" t="s">
        <v>2</v>
      </c>
      <c r="B41" t="s">
        <v>80</v>
      </c>
      <c r="C41" t="str">
        <f t="shared" si="0"/>
        <v>'D'</v>
      </c>
      <c r="D41" t="str">
        <f t="shared" ref="D41:D63" si="1">_xlfn.CONCAT(A41:C41)</f>
        <v>D = 'D'</v>
      </c>
    </row>
    <row r="42" spans="1:4" x14ac:dyDescent="0.3">
      <c r="A42" t="s">
        <v>4</v>
      </c>
      <c r="B42" t="s">
        <v>80</v>
      </c>
      <c r="C42" t="str">
        <f t="shared" si="0"/>
        <v>'E'</v>
      </c>
      <c r="D42" t="str">
        <f t="shared" si="1"/>
        <v>E = 'E'</v>
      </c>
    </row>
    <row r="43" spans="1:4" x14ac:dyDescent="0.3">
      <c r="A43" t="s">
        <v>5</v>
      </c>
      <c r="B43" t="s">
        <v>80</v>
      </c>
      <c r="C43" t="str">
        <f t="shared" si="0"/>
        <v>'F'</v>
      </c>
      <c r="D43" t="str">
        <f t="shared" si="1"/>
        <v>F = 'F'</v>
      </c>
    </row>
    <row r="44" spans="1:4" x14ac:dyDescent="0.3">
      <c r="A44" t="s">
        <v>6</v>
      </c>
      <c r="B44" t="s">
        <v>80</v>
      </c>
      <c r="C44" t="str">
        <f t="shared" si="0"/>
        <v>'G'</v>
      </c>
      <c r="D44" t="str">
        <f t="shared" si="1"/>
        <v>G = 'G'</v>
      </c>
    </row>
    <row r="45" spans="1:4" x14ac:dyDescent="0.3">
      <c r="A45" t="s">
        <v>7</v>
      </c>
      <c r="B45" t="s">
        <v>80</v>
      </c>
      <c r="C45" t="str">
        <f t="shared" si="0"/>
        <v>'H'</v>
      </c>
      <c r="D45" t="str">
        <f t="shared" si="1"/>
        <v>H = 'H'</v>
      </c>
    </row>
    <row r="46" spans="1:4" x14ac:dyDescent="0.3">
      <c r="A46" t="s">
        <v>8</v>
      </c>
      <c r="B46" t="s">
        <v>80</v>
      </c>
      <c r="C46" t="str">
        <f t="shared" si="0"/>
        <v>'I'</v>
      </c>
      <c r="D46" t="str">
        <f t="shared" si="1"/>
        <v>I = 'I'</v>
      </c>
    </row>
    <row r="47" spans="1:4" x14ac:dyDescent="0.3">
      <c r="A47" t="s">
        <v>9</v>
      </c>
      <c r="B47" t="s">
        <v>80</v>
      </c>
      <c r="C47" t="str">
        <f t="shared" si="0"/>
        <v>'J'</v>
      </c>
      <c r="D47" t="str">
        <f t="shared" si="1"/>
        <v>J = 'J'</v>
      </c>
    </row>
    <row r="48" spans="1:4" x14ac:dyDescent="0.3">
      <c r="A48" t="s">
        <v>10</v>
      </c>
      <c r="B48" t="s">
        <v>80</v>
      </c>
      <c r="C48" t="str">
        <f t="shared" si="0"/>
        <v>'K'</v>
      </c>
      <c r="D48" t="str">
        <f t="shared" si="1"/>
        <v>K = 'K'</v>
      </c>
    </row>
    <row r="49" spans="1:4" x14ac:dyDescent="0.3">
      <c r="A49" t="s">
        <v>11</v>
      </c>
      <c r="B49" t="s">
        <v>80</v>
      </c>
      <c r="C49" t="str">
        <f t="shared" si="0"/>
        <v>'L'</v>
      </c>
      <c r="D49" t="str">
        <f t="shared" si="1"/>
        <v>L = 'L'</v>
      </c>
    </row>
    <row r="50" spans="1:4" x14ac:dyDescent="0.3">
      <c r="A50" t="s">
        <v>12</v>
      </c>
      <c r="B50" t="s">
        <v>80</v>
      </c>
      <c r="C50" t="str">
        <f t="shared" si="0"/>
        <v>'M'</v>
      </c>
      <c r="D50" t="str">
        <f t="shared" si="1"/>
        <v>M = 'M'</v>
      </c>
    </row>
    <row r="51" spans="1:4" x14ac:dyDescent="0.3">
      <c r="A51" t="s">
        <v>13</v>
      </c>
      <c r="B51" t="s">
        <v>80</v>
      </c>
      <c r="C51" t="str">
        <f t="shared" si="0"/>
        <v>'N'</v>
      </c>
      <c r="D51" t="str">
        <f t="shared" si="1"/>
        <v>N = 'N'</v>
      </c>
    </row>
    <row r="52" spans="1:4" x14ac:dyDescent="0.3">
      <c r="A52" t="s">
        <v>14</v>
      </c>
      <c r="B52" t="s">
        <v>80</v>
      </c>
      <c r="C52" t="str">
        <f t="shared" si="0"/>
        <v>'O'</v>
      </c>
      <c r="D52" t="str">
        <f t="shared" si="1"/>
        <v>O = 'O'</v>
      </c>
    </row>
    <row r="53" spans="1:4" x14ac:dyDescent="0.3">
      <c r="A53" t="s">
        <v>15</v>
      </c>
      <c r="B53" t="s">
        <v>80</v>
      </c>
      <c r="C53" t="str">
        <f t="shared" si="0"/>
        <v>'P'</v>
      </c>
      <c r="D53" t="str">
        <f t="shared" si="1"/>
        <v>P = 'P'</v>
      </c>
    </row>
    <row r="54" spans="1:4" x14ac:dyDescent="0.3">
      <c r="A54" t="s">
        <v>16</v>
      </c>
      <c r="B54" t="s">
        <v>80</v>
      </c>
      <c r="C54" t="str">
        <f t="shared" si="0"/>
        <v>'Q'</v>
      </c>
      <c r="D54" t="str">
        <f t="shared" si="1"/>
        <v>Q = 'Q'</v>
      </c>
    </row>
    <row r="55" spans="1:4" x14ac:dyDescent="0.3">
      <c r="A55" t="s">
        <v>17</v>
      </c>
      <c r="B55" t="s">
        <v>80</v>
      </c>
      <c r="C55" t="str">
        <f t="shared" si="0"/>
        <v>'R'</v>
      </c>
      <c r="D55" t="str">
        <f t="shared" si="1"/>
        <v>R = 'R'</v>
      </c>
    </row>
    <row r="56" spans="1:4" x14ac:dyDescent="0.3">
      <c r="A56" t="s">
        <v>18</v>
      </c>
      <c r="B56" t="s">
        <v>80</v>
      </c>
      <c r="C56" t="str">
        <f t="shared" si="0"/>
        <v>'S'</v>
      </c>
      <c r="D56" t="str">
        <f t="shared" si="1"/>
        <v>S = 'S'</v>
      </c>
    </row>
    <row r="57" spans="1:4" x14ac:dyDescent="0.3">
      <c r="A57" t="s">
        <v>19</v>
      </c>
      <c r="B57" t="s">
        <v>80</v>
      </c>
      <c r="C57" t="str">
        <f t="shared" si="0"/>
        <v>'T'</v>
      </c>
      <c r="D57" t="str">
        <f t="shared" si="1"/>
        <v>T = 'T'</v>
      </c>
    </row>
    <row r="58" spans="1:4" x14ac:dyDescent="0.3">
      <c r="A58" t="s">
        <v>20</v>
      </c>
      <c r="B58" t="s">
        <v>80</v>
      </c>
      <c r="C58" t="str">
        <f t="shared" si="0"/>
        <v>'U'</v>
      </c>
      <c r="D58" t="str">
        <f t="shared" si="1"/>
        <v>U = 'U'</v>
      </c>
    </row>
    <row r="59" spans="1:4" x14ac:dyDescent="0.3">
      <c r="A59" t="s">
        <v>21</v>
      </c>
      <c r="B59" t="s">
        <v>80</v>
      </c>
      <c r="C59" t="str">
        <f t="shared" si="0"/>
        <v>'V'</v>
      </c>
      <c r="D59" t="str">
        <f t="shared" si="1"/>
        <v>V = 'V'</v>
      </c>
    </row>
    <row r="60" spans="1:4" x14ac:dyDescent="0.3">
      <c r="A60" t="s">
        <v>22</v>
      </c>
      <c r="B60" t="s">
        <v>80</v>
      </c>
      <c r="C60" t="str">
        <f t="shared" si="0"/>
        <v>'W'</v>
      </c>
      <c r="D60" t="str">
        <f t="shared" si="1"/>
        <v>W = 'W'</v>
      </c>
    </row>
    <row r="61" spans="1:4" x14ac:dyDescent="0.3">
      <c r="A61" t="s">
        <v>23</v>
      </c>
      <c r="B61" t="s">
        <v>80</v>
      </c>
      <c r="C61" t="str">
        <f t="shared" si="0"/>
        <v>'X'</v>
      </c>
      <c r="D61" t="str">
        <f t="shared" si="1"/>
        <v>X = 'X'</v>
      </c>
    </row>
    <row r="62" spans="1:4" x14ac:dyDescent="0.3">
      <c r="A62" t="s">
        <v>24</v>
      </c>
      <c r="B62" t="s">
        <v>80</v>
      </c>
      <c r="C62" t="str">
        <f t="shared" si="0"/>
        <v>'Y'</v>
      </c>
      <c r="D62" t="str">
        <f t="shared" si="1"/>
        <v>Y = 'Y'</v>
      </c>
    </row>
    <row r="63" spans="1:4" x14ac:dyDescent="0.3">
      <c r="A63" t="s">
        <v>25</v>
      </c>
      <c r="B63" t="s">
        <v>80</v>
      </c>
      <c r="C63" t="str">
        <f t="shared" si="0"/>
        <v>'Z'</v>
      </c>
      <c r="D63" t="str">
        <f t="shared" si="1"/>
        <v>Z = 'Z'</v>
      </c>
    </row>
  </sheetData>
  <pageMargins left="0.7" right="0.7" top="0.75" bottom="0.75" header="0.3" footer="0.3"/>
  <pageSetup paperSize="9" orientation="portrait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B2C2-FCD1-48EA-95DF-1670F9C5D4DB}">
  <sheetPr codeName="Planilha2"/>
  <dimension ref="A1:E27"/>
  <sheetViews>
    <sheetView topLeftCell="C1" workbookViewId="0">
      <selection sqref="A1:E27"/>
    </sheetView>
  </sheetViews>
  <sheetFormatPr defaultRowHeight="14.4" x14ac:dyDescent="0.3"/>
  <cols>
    <col min="1" max="1" width="4.77734375" bestFit="1" customWidth="1"/>
    <col min="2" max="2" width="28.33203125" bestFit="1" customWidth="1"/>
    <col min="3" max="3" width="18.77734375" bestFit="1" customWidth="1"/>
    <col min="4" max="4" width="49.88671875" bestFit="1" customWidth="1"/>
    <col min="5" max="6" width="74.88671875" bestFit="1" customWidth="1"/>
  </cols>
  <sheetData>
    <row r="1" spans="1:5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3">
      <c r="A2" s="6" t="s">
        <v>0</v>
      </c>
      <c r="B2" s="6" t="s">
        <v>27</v>
      </c>
      <c r="C2" t="s">
        <v>90</v>
      </c>
      <c r="D2" s="6"/>
      <c r="E2" s="6" t="s">
        <v>50</v>
      </c>
    </row>
    <row r="3" spans="1:5" x14ac:dyDescent="0.3">
      <c r="A3" s="6" t="s">
        <v>1</v>
      </c>
      <c r="B3" s="6" t="s">
        <v>29</v>
      </c>
      <c r="C3" t="s">
        <v>63</v>
      </c>
      <c r="D3" s="6" t="s">
        <v>30</v>
      </c>
      <c r="E3" s="6" t="s">
        <v>52</v>
      </c>
    </row>
    <row r="4" spans="1:5" x14ac:dyDescent="0.3">
      <c r="A4" s="6" t="s">
        <v>3</v>
      </c>
      <c r="B4" s="6" t="s">
        <v>32</v>
      </c>
      <c r="C4">
        <v>-50</v>
      </c>
      <c r="D4" s="6"/>
      <c r="E4" s="6"/>
    </row>
    <row r="5" spans="1:5" x14ac:dyDescent="0.3">
      <c r="A5" s="6" t="s">
        <v>2</v>
      </c>
      <c r="B5" s="6" t="s">
        <v>33</v>
      </c>
      <c r="C5">
        <v>-100</v>
      </c>
      <c r="D5" s="6"/>
      <c r="E5" s="6"/>
    </row>
    <row r="6" spans="1:5" x14ac:dyDescent="0.3">
      <c r="A6" s="6" t="s">
        <v>4</v>
      </c>
      <c r="B6" s="6" t="s">
        <v>41</v>
      </c>
      <c r="C6" t="s">
        <v>49</v>
      </c>
      <c r="D6" s="6" t="s">
        <v>42</v>
      </c>
      <c r="E6" s="6"/>
    </row>
    <row r="7" spans="1:5" x14ac:dyDescent="0.3">
      <c r="A7" s="6" t="s">
        <v>5</v>
      </c>
      <c r="B7" s="6" t="s">
        <v>43</v>
      </c>
      <c r="C7">
        <v>2</v>
      </c>
      <c r="D7" s="6"/>
      <c r="E7" s="6"/>
    </row>
    <row r="8" spans="1:5" x14ac:dyDescent="0.3">
      <c r="A8" s="6" t="s">
        <v>6</v>
      </c>
      <c r="B8" s="6" t="s">
        <v>45</v>
      </c>
      <c r="C8">
        <v>1</v>
      </c>
      <c r="D8" s="6"/>
      <c r="E8" s="6"/>
    </row>
    <row r="9" spans="1:5" x14ac:dyDescent="0.3">
      <c r="A9" s="6" t="s">
        <v>7</v>
      </c>
      <c r="B9" s="6" t="s">
        <v>44</v>
      </c>
      <c r="C9">
        <v>2</v>
      </c>
      <c r="D9" s="6"/>
      <c r="E9" s="6"/>
    </row>
    <row r="10" spans="1:5" x14ac:dyDescent="0.3">
      <c r="A10" s="6" t="s">
        <v>8</v>
      </c>
      <c r="B10" s="6" t="s">
        <v>46</v>
      </c>
      <c r="C10">
        <v>1</v>
      </c>
      <c r="D10" s="6"/>
      <c r="E10" s="6"/>
    </row>
    <row r="11" spans="1:5" x14ac:dyDescent="0.3">
      <c r="A11" s="6" t="s">
        <v>9</v>
      </c>
      <c r="B11" s="6" t="s">
        <v>53</v>
      </c>
      <c r="C11" t="s">
        <v>71</v>
      </c>
      <c r="D11" s="6" t="s">
        <v>55</v>
      </c>
      <c r="E11" s="6" t="s">
        <v>54</v>
      </c>
    </row>
    <row r="12" spans="1:5" x14ac:dyDescent="0.3">
      <c r="A12" s="6" t="s">
        <v>10</v>
      </c>
      <c r="B12" s="6" t="s">
        <v>64</v>
      </c>
      <c r="C12" t="s">
        <v>108</v>
      </c>
      <c r="D12" s="6" t="s">
        <v>109</v>
      </c>
      <c r="E12" s="6" t="s">
        <v>66</v>
      </c>
    </row>
    <row r="13" spans="1:5" x14ac:dyDescent="0.3">
      <c r="A13" s="6" t="s">
        <v>11</v>
      </c>
      <c r="B13" s="6" t="s">
        <v>69</v>
      </c>
      <c r="C13">
        <v>-100</v>
      </c>
      <c r="D13" s="6"/>
      <c r="E13" s="6"/>
    </row>
    <row r="14" spans="1:5" x14ac:dyDescent="0.3">
      <c r="A14" s="6" t="s">
        <v>12</v>
      </c>
      <c r="B14" s="6" t="s">
        <v>70</v>
      </c>
      <c r="C14" t="s">
        <v>72</v>
      </c>
      <c r="D14" s="6" t="s">
        <v>91</v>
      </c>
      <c r="E14" s="6"/>
    </row>
    <row r="15" spans="1:5" x14ac:dyDescent="0.3">
      <c r="A15" s="6" t="s">
        <v>13</v>
      </c>
      <c r="B15" s="6" t="s">
        <v>73</v>
      </c>
      <c r="C15" t="s">
        <v>74</v>
      </c>
      <c r="D15" s="6"/>
      <c r="E15" s="6"/>
    </row>
    <row r="16" spans="1:5" x14ac:dyDescent="0.3">
      <c r="A16" s="6" t="s">
        <v>14</v>
      </c>
      <c r="B16" s="6" t="s">
        <v>77</v>
      </c>
      <c r="C16">
        <v>2</v>
      </c>
      <c r="D16" s="6"/>
      <c r="E16" s="6"/>
    </row>
    <row r="17" spans="1:5" x14ac:dyDescent="0.3">
      <c r="A17" s="6" t="s">
        <v>15</v>
      </c>
      <c r="B17" s="6" t="s">
        <v>78</v>
      </c>
      <c r="C17">
        <v>-5</v>
      </c>
      <c r="D17" s="6"/>
      <c r="E17" s="6"/>
    </row>
    <row r="18" spans="1:5" x14ac:dyDescent="0.3">
      <c r="A18" s="6" t="s">
        <v>16</v>
      </c>
      <c r="B18" s="6" t="s">
        <v>79</v>
      </c>
      <c r="C18">
        <v>7</v>
      </c>
      <c r="D18" s="6"/>
      <c r="E18" s="6"/>
    </row>
    <row r="19" spans="1:5" x14ac:dyDescent="0.3">
      <c r="A19" s="6" t="s">
        <v>17</v>
      </c>
      <c r="B19" s="6" t="s">
        <v>95</v>
      </c>
      <c r="C19">
        <v>3</v>
      </c>
      <c r="D19" s="6"/>
      <c r="E19" s="6"/>
    </row>
    <row r="20" spans="1:5" x14ac:dyDescent="0.3">
      <c r="A20" s="6" t="s">
        <v>18</v>
      </c>
      <c r="B20" s="6" t="s">
        <v>96</v>
      </c>
      <c r="C20" t="s">
        <v>107</v>
      </c>
      <c r="D20" s="6" t="s">
        <v>116</v>
      </c>
      <c r="E20" s="6" t="s">
        <v>97</v>
      </c>
    </row>
    <row r="21" spans="1:5" x14ac:dyDescent="0.3">
      <c r="A21" s="6" t="s">
        <v>19</v>
      </c>
      <c r="B21" s="6" t="s">
        <v>98</v>
      </c>
      <c r="C21" t="s">
        <v>107</v>
      </c>
      <c r="D21" s="6" t="s">
        <v>117</v>
      </c>
      <c r="E21" s="6" t="s">
        <v>99</v>
      </c>
    </row>
    <row r="22" spans="1:5" x14ac:dyDescent="0.3">
      <c r="A22" s="6" t="s">
        <v>20</v>
      </c>
      <c r="B22" s="6" t="s">
        <v>118</v>
      </c>
      <c r="C22">
        <v>3</v>
      </c>
      <c r="D22" s="6"/>
      <c r="E22" s="6" t="s">
        <v>119</v>
      </c>
    </row>
    <row r="23" spans="1:5" x14ac:dyDescent="0.3">
      <c r="A23" s="6" t="s">
        <v>21</v>
      </c>
      <c r="B23" s="6" t="s">
        <v>120</v>
      </c>
      <c r="C23">
        <v>-5</v>
      </c>
      <c r="D23" s="6"/>
      <c r="E23" s="6"/>
    </row>
    <row r="24" spans="1:5" x14ac:dyDescent="0.3">
      <c r="A24" s="6" t="s">
        <v>22</v>
      </c>
      <c r="B24" s="6" t="s">
        <v>121</v>
      </c>
      <c r="C24">
        <v>-50</v>
      </c>
      <c r="D24" s="6"/>
      <c r="E24" s="6"/>
    </row>
    <row r="25" spans="1:5" x14ac:dyDescent="0.3">
      <c r="A25" s="6" t="s">
        <v>23</v>
      </c>
      <c r="B25" s="6"/>
      <c r="D25" s="6"/>
      <c r="E25" s="6"/>
    </row>
    <row r="26" spans="1:5" x14ac:dyDescent="0.3">
      <c r="A26" s="6" t="s">
        <v>24</v>
      </c>
      <c r="B26" s="6"/>
      <c r="D26" s="6"/>
      <c r="E26" s="6"/>
    </row>
    <row r="27" spans="1:5" x14ac:dyDescent="0.3">
      <c r="A27" s="6" t="s">
        <v>25</v>
      </c>
      <c r="B27" s="6"/>
      <c r="D27" s="6"/>
      <c r="E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10717-0709-4AD7-8860-D1255D40002A}">
  <sheetPr codeName="Planilha3"/>
  <dimension ref="A1:R28"/>
  <sheetViews>
    <sheetView topLeftCell="G1" workbookViewId="0">
      <selection activeCell="R1" sqref="R1:R28"/>
    </sheetView>
  </sheetViews>
  <sheetFormatPr defaultRowHeight="14.4" x14ac:dyDescent="0.3"/>
  <cols>
    <col min="1" max="1" width="2.77734375" bestFit="1" customWidth="1"/>
    <col min="3" max="3" width="18.77734375" bestFit="1" customWidth="1"/>
    <col min="10" max="10" width="22" bestFit="1" customWidth="1"/>
    <col min="14" max="14" width="11" customWidth="1"/>
  </cols>
  <sheetData>
    <row r="1" spans="1:18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  <c r="G1" t="s">
        <v>92</v>
      </c>
      <c r="H1" t="s">
        <v>105</v>
      </c>
      <c r="I1" t="s">
        <v>112</v>
      </c>
      <c r="L1" t="s">
        <v>89</v>
      </c>
      <c r="R1" t="s">
        <v>87</v>
      </c>
    </row>
    <row r="2" spans="1:18" x14ac:dyDescent="0.3">
      <c r="A2" t="s">
        <v>0</v>
      </c>
      <c r="B2" t="s">
        <v>27</v>
      </c>
      <c r="C2" t="s">
        <v>90</v>
      </c>
      <c r="E2" t="s">
        <v>50</v>
      </c>
      <c r="J2" t="str">
        <f>FIX_EVAL(C2,G2,H2,I2)</f>
        <v>float('-inf')</v>
      </c>
      <c r="L2" t="str">
        <f>_xlfn.CONCAT($L$1,A$1,$L$1,": ",$L$1,A2,$L$1,", ")</f>
        <v xml:space="preserve">"id": "A", </v>
      </c>
      <c r="M2" t="str">
        <f>_xlfn.CONCAT($L$1,B$1,$L$1,": ",$L$1,B2,$L$1,", ")</f>
        <v xml:space="preserve">"name": "Múltiplas aulas ao mesmo tempo", </v>
      </c>
      <c r="N2" t="str">
        <f>_xlfn.CONCAT($L$1,C$1,$L$1,": ",$L$1,J2,$L$1,", ")</f>
        <v xml:space="preserve">"score": "float('-inf')", </v>
      </c>
      <c r="O2" t="str">
        <f>_xlfn.CONCAT($L$1,D$1,$L$1,": ",$L$1,D2,$L$1,", ")</f>
        <v xml:space="preserve">"extra": "", </v>
      </c>
      <c r="P2" t="str">
        <f>_xlfn.CONCAT($L$1,E$1,$L$1,": ",$L$1,E2,$L$1)</f>
        <v>"obs": "Provavelmente uma busca local vai ser necessária pra sumir com isso"</v>
      </c>
      <c r="R2" t="str">
        <f>_xlfn.CONCAT("{",L2:P2,"}, ")</f>
        <v xml:space="preserve">{"id": "A", "name": "Múltiplas aulas ao mesmo tempo", "score": "float('-inf')", "extra": "", "obs": "Provavelmente uma busca local vai ser necessária pra sumir com isso"}, </v>
      </c>
    </row>
    <row r="3" spans="1:18" x14ac:dyDescent="0.3">
      <c r="A3" t="s">
        <v>1</v>
      </c>
      <c r="B3" t="s">
        <v>29</v>
      </c>
      <c r="C3" t="s">
        <v>63</v>
      </c>
      <c r="D3" t="s">
        <v>30</v>
      </c>
      <c r="E3" t="s">
        <v>52</v>
      </c>
      <c r="G3" t="s">
        <v>93</v>
      </c>
      <c r="H3" t="s">
        <v>114</v>
      </c>
      <c r="I3" t="s">
        <v>113</v>
      </c>
      <c r="J3" t="str">
        <f>FIX_EVAL(C3,G3,H3,I3)</f>
        <v xml:space="preserve">-1 * 3**(k['g'] * 2/4) </v>
      </c>
      <c r="L3" t="str">
        <f t="shared" ref="L3:L27" si="0">_xlfn.CONCAT($L$1,A$1,$L$1,": ",$L$1,A3,$L$1,", ")</f>
        <v xml:space="preserve">"id": "B", </v>
      </c>
      <c r="M3" t="str">
        <f t="shared" ref="M3:M27" si="1">_xlfn.CONCAT($L$1,B$1,$L$1,": ",$L$1,B3,$L$1,", ")</f>
        <v xml:space="preserve">"name": "Janela Entre-Aulas", </v>
      </c>
      <c r="N3" t="str">
        <f t="shared" ref="N3:N27" si="2">_xlfn.CONCAT($L$1,C$1,$L$1,": ",$L$1,J3,$L$1,", ")</f>
        <v xml:space="preserve">"score": "-1 * 3**(k['g'] * 2/4) ", </v>
      </c>
      <c r="O3" t="str">
        <f t="shared" ref="O3:O27" si="3">_xlfn.CONCAT($L$1,D$1,$L$1,": ",$L$1,D3,$L$1,", ")</f>
        <v xml:space="preserve">"extra": "g=tamanho da janela", </v>
      </c>
      <c r="P3" t="str">
        <f t="shared" ref="P3:P27" si="4">_xlfn.CONCAT($L$1,E$1,$L$1,": ",$L$1,E3,$L$1)</f>
        <v>"obs": "1.7, 6, 21, 36"</v>
      </c>
      <c r="R3" t="str">
        <f t="shared" ref="R3:R26" si="5">_xlfn.CONCAT("{",L3:P3,"}, ")</f>
        <v xml:space="preserve">{"id": "B", "name": "Janela Entre-Aulas", "score": "-1 * 3**(k['g'] * 2/4) ", "extra": "g=tamanho da janela", "obs": "1.7, 6, 21, 36"}, </v>
      </c>
    </row>
    <row r="4" spans="1:18" x14ac:dyDescent="0.3">
      <c r="A4" t="s">
        <v>3</v>
      </c>
      <c r="B4" t="s">
        <v>32</v>
      </c>
      <c r="C4">
        <v>-50</v>
      </c>
      <c r="J4" t="str">
        <f t="shared" ref="J4:J27" si="6">FIX_EVAL(C4,G4,H4,I4)</f>
        <v>-50</v>
      </c>
      <c r="L4" t="str">
        <f t="shared" si="0"/>
        <v xml:space="preserve">"id": "C", </v>
      </c>
      <c r="M4" t="str">
        <f t="shared" si="1"/>
        <v xml:space="preserve">"name": "Múltiplas aulas da mesma UC", </v>
      </c>
      <c r="N4" t="str">
        <f t="shared" si="2"/>
        <v xml:space="preserve">"score": "-50", </v>
      </c>
      <c r="O4" t="str">
        <f t="shared" si="3"/>
        <v xml:space="preserve">"extra": "", </v>
      </c>
      <c r="P4" t="str">
        <f t="shared" si="4"/>
        <v>"obs": ""</v>
      </c>
      <c r="R4" t="str">
        <f t="shared" si="5"/>
        <v xml:space="preserve">{"id": "C", "name": "Múltiplas aulas da mesma UC", "score": "-50", "extra": "", "obs": ""}, </v>
      </c>
    </row>
    <row r="5" spans="1:18" x14ac:dyDescent="0.3">
      <c r="A5" t="s">
        <v>2</v>
      </c>
      <c r="B5" t="s">
        <v>33</v>
      </c>
      <c r="C5">
        <v>-100</v>
      </c>
      <c r="J5" t="str">
        <f t="shared" si="6"/>
        <v>-100</v>
      </c>
      <c r="L5" t="str">
        <f t="shared" si="0"/>
        <v xml:space="preserve">"id": "D", </v>
      </c>
      <c r="M5" t="str">
        <f t="shared" si="1"/>
        <v xml:space="preserve">"name": "UC sem pré-requisitos", </v>
      </c>
      <c r="N5" t="str">
        <f t="shared" si="2"/>
        <v xml:space="preserve">"score": "-100", </v>
      </c>
      <c r="O5" t="str">
        <f t="shared" si="3"/>
        <v xml:space="preserve">"extra": "", </v>
      </c>
      <c r="P5" t="str">
        <f t="shared" si="4"/>
        <v>"obs": ""</v>
      </c>
      <c r="R5" t="str">
        <f t="shared" si="5"/>
        <v xml:space="preserve">{"id": "D", "name": "UC sem pré-requisitos", "score": "-100", "extra": "", "obs": ""}, </v>
      </c>
    </row>
    <row r="6" spans="1:18" x14ac:dyDescent="0.3">
      <c r="A6" t="s">
        <v>4</v>
      </c>
      <c r="B6" t="s">
        <v>41</v>
      </c>
      <c r="C6" t="s">
        <v>49</v>
      </c>
      <c r="D6" t="s">
        <v>42</v>
      </c>
      <c r="G6" t="s">
        <v>67</v>
      </c>
      <c r="J6" t="str">
        <f t="shared" si="6"/>
        <v>k['d']/3</v>
      </c>
      <c r="L6" t="str">
        <f t="shared" si="0"/>
        <v xml:space="preserve">"id": "E", </v>
      </c>
      <c r="M6" t="str">
        <f t="shared" si="1"/>
        <v xml:space="preserve">"name": "Dependencias futuras", </v>
      </c>
      <c r="N6" t="str">
        <f t="shared" si="2"/>
        <v xml:space="preserve">"score": "k['d']/3", </v>
      </c>
      <c r="O6" t="str">
        <f t="shared" si="3"/>
        <v xml:space="preserve">"extra": "d=numero de dependencias", </v>
      </c>
      <c r="P6" t="str">
        <f t="shared" si="4"/>
        <v>"obs": ""</v>
      </c>
      <c r="R6" t="str">
        <f t="shared" si="5"/>
        <v xml:space="preserve">{"id": "E", "name": "Dependencias futuras", "score": "k['d']/3", "extra": "d=numero de dependencias", "obs": ""}, </v>
      </c>
    </row>
    <row r="7" spans="1:18" x14ac:dyDescent="0.3">
      <c r="A7" t="s">
        <v>5</v>
      </c>
      <c r="B7" t="s">
        <v>43</v>
      </c>
      <c r="C7">
        <v>2</v>
      </c>
      <c r="J7" t="str">
        <f t="shared" si="6"/>
        <v>2</v>
      </c>
      <c r="L7" t="str">
        <f t="shared" si="0"/>
        <v xml:space="preserve">"id": "F", </v>
      </c>
      <c r="M7" t="str">
        <f t="shared" si="1"/>
        <v xml:space="preserve">"name": "Termo presente", </v>
      </c>
      <c r="N7" t="str">
        <f t="shared" si="2"/>
        <v xml:space="preserve">"score": "2", </v>
      </c>
      <c r="O7" t="str">
        <f t="shared" si="3"/>
        <v xml:space="preserve">"extra": "", </v>
      </c>
      <c r="P7" t="str">
        <f t="shared" si="4"/>
        <v>"obs": ""</v>
      </c>
      <c r="R7" t="str">
        <f t="shared" si="5"/>
        <v xml:space="preserve">{"id": "F", "name": "Termo presente", "score": "2", "extra": "", "obs": ""}, </v>
      </c>
    </row>
    <row r="8" spans="1:18" x14ac:dyDescent="0.3">
      <c r="A8" t="s">
        <v>6</v>
      </c>
      <c r="B8" t="s">
        <v>45</v>
      </c>
      <c r="C8">
        <v>1</v>
      </c>
      <c r="J8" t="str">
        <f t="shared" si="6"/>
        <v>1</v>
      </c>
      <c r="L8" t="str">
        <f t="shared" si="0"/>
        <v xml:space="preserve">"id": "G", </v>
      </c>
      <c r="M8" t="str">
        <f t="shared" si="1"/>
        <v xml:space="preserve">"name": "Termo futuro", </v>
      </c>
      <c r="N8" t="str">
        <f t="shared" si="2"/>
        <v xml:space="preserve">"score": "1", </v>
      </c>
      <c r="O8" t="str">
        <f t="shared" si="3"/>
        <v xml:space="preserve">"extra": "", </v>
      </c>
      <c r="P8" t="str">
        <f t="shared" si="4"/>
        <v>"obs": ""</v>
      </c>
      <c r="R8" t="str">
        <f t="shared" si="5"/>
        <v xml:space="preserve">{"id": "G", "name": "Termo futuro", "score": "1", "extra": "", "obs": ""}, </v>
      </c>
    </row>
    <row r="9" spans="1:18" x14ac:dyDescent="0.3">
      <c r="A9" t="s">
        <v>7</v>
      </c>
      <c r="B9" t="s">
        <v>44</v>
      </c>
      <c r="C9">
        <v>2</v>
      </c>
      <c r="J9" t="str">
        <f t="shared" si="6"/>
        <v>2</v>
      </c>
      <c r="L9" t="str">
        <f t="shared" si="0"/>
        <v xml:space="preserve">"id": "H", </v>
      </c>
      <c r="M9" t="str">
        <f t="shared" si="1"/>
        <v xml:space="preserve">"name": "Termo passado", </v>
      </c>
      <c r="N9" t="str">
        <f t="shared" si="2"/>
        <v xml:space="preserve">"score": "2", </v>
      </c>
      <c r="O9" t="str">
        <f t="shared" si="3"/>
        <v xml:space="preserve">"extra": "", </v>
      </c>
      <c r="P9" t="str">
        <f t="shared" si="4"/>
        <v>"obs": ""</v>
      </c>
      <c r="R9" t="str">
        <f t="shared" si="5"/>
        <v xml:space="preserve">{"id": "H", "name": "Termo passado", "score": "2", "extra": "", "obs": ""}, </v>
      </c>
    </row>
    <row r="10" spans="1:18" x14ac:dyDescent="0.3">
      <c r="A10" t="s">
        <v>8</v>
      </c>
      <c r="B10" t="s">
        <v>46</v>
      </c>
      <c r="C10">
        <v>1</v>
      </c>
      <c r="J10" t="str">
        <f t="shared" si="6"/>
        <v>1</v>
      </c>
      <c r="L10" t="str">
        <f t="shared" si="0"/>
        <v xml:space="preserve">"id": "I", </v>
      </c>
      <c r="M10" t="str">
        <f t="shared" si="1"/>
        <v xml:space="preserve">"name": "UC eletiva", </v>
      </c>
      <c r="N10" t="str">
        <f t="shared" si="2"/>
        <v xml:space="preserve">"score": "1", </v>
      </c>
      <c r="O10" t="str">
        <f t="shared" si="3"/>
        <v xml:space="preserve">"extra": "", </v>
      </c>
      <c r="P10" t="str">
        <f t="shared" si="4"/>
        <v>"obs": ""</v>
      </c>
      <c r="R10" t="str">
        <f t="shared" si="5"/>
        <v xml:space="preserve">{"id": "I", "name": "UC eletiva", "score": "1", "extra": "", "obs": ""}, </v>
      </c>
    </row>
    <row r="11" spans="1:18" x14ac:dyDescent="0.3">
      <c r="A11" t="s">
        <v>9</v>
      </c>
      <c r="B11" t="s">
        <v>53</v>
      </c>
      <c r="C11" t="s">
        <v>71</v>
      </c>
      <c r="D11" t="s">
        <v>55</v>
      </c>
      <c r="E11" t="s">
        <v>54</v>
      </c>
      <c r="G11" t="s">
        <v>68</v>
      </c>
      <c r="H11" t="s">
        <v>115</v>
      </c>
      <c r="I11" t="s">
        <v>113</v>
      </c>
      <c r="J11" t="str">
        <f t="shared" si="6"/>
        <v xml:space="preserve">k['t'] </v>
      </c>
      <c r="L11" t="str">
        <f t="shared" si="0"/>
        <v xml:space="preserve">"id": "J", </v>
      </c>
      <c r="M11" t="str">
        <f t="shared" si="1"/>
        <v xml:space="preserve">"name": "Dificuldade do professor", </v>
      </c>
      <c r="N11" t="str">
        <f t="shared" si="2"/>
        <v xml:space="preserve">"score": "k['t'] ", </v>
      </c>
      <c r="O11" t="str">
        <f t="shared" si="3"/>
        <v xml:space="preserve">"extra": "t=dificuldade do professor", </v>
      </c>
      <c r="P11" t="str">
        <f t="shared" si="4"/>
        <v>"obs": "O nível não pode ser alto por culpa da baixa confiabilidade dos dados"</v>
      </c>
      <c r="R11" t="str">
        <f t="shared" si="5"/>
        <v xml:space="preserve">{"id": "J", "name": "Dificuldade do professor", "score": "k['t'] ", "extra": "t=dificuldade do professor", "obs": "O nível não pode ser alto por culpa da baixa confiabilidade dos dados"}, </v>
      </c>
    </row>
    <row r="12" spans="1:18" x14ac:dyDescent="0.3">
      <c r="A12" t="s">
        <v>10</v>
      </c>
      <c r="B12" t="s">
        <v>64</v>
      </c>
      <c r="C12" t="s">
        <v>108</v>
      </c>
      <c r="D12" t="s">
        <v>109</v>
      </c>
      <c r="E12" t="s">
        <v>66</v>
      </c>
      <c r="G12" t="s">
        <v>65</v>
      </c>
      <c r="H12" t="s">
        <v>110</v>
      </c>
      <c r="I12" t="s">
        <v>111</v>
      </c>
      <c r="J12" t="str">
        <f>FIX_EVAL(C12,G12,H12,I12)</f>
        <v>k['q'] * 2 * ((6 / (k['x'] + 5)) ** 2)</v>
      </c>
      <c r="L12" t="str">
        <f t="shared" si="0"/>
        <v xml:space="preserve">"id": "K", </v>
      </c>
      <c r="M12" t="str">
        <f t="shared" si="1"/>
        <v xml:space="preserve">"name": "UC interdisciplinar", </v>
      </c>
      <c r="N12" t="str">
        <f t="shared" si="2"/>
        <v xml:space="preserve">"score": "k['q'] * 2 * ((6 / (k['x'] + 5)) ** 2)", </v>
      </c>
      <c r="O12" t="str">
        <f t="shared" si="3"/>
        <v xml:space="preserve">"extra": "q=interdis. faltantes, t=tempo restante para acabar o curso", </v>
      </c>
      <c r="P12" t="str">
        <f t="shared" si="4"/>
        <v>"obs": "Quanto mais tarde e mais interdisciplinares faltarem, mais imoprtante uma UC desse tipo"</v>
      </c>
      <c r="R12" t="str">
        <f t="shared" si="5"/>
        <v xml:space="preserve">{"id": "K", "name": "UC interdisciplinar", "score": "k['q'] * 2 * ((6 / (k['x'] + 5)) ** 2)", "extra": "q=interdis. faltantes, t=tempo restante para acabar o curso", "obs": "Quanto mais tarde e mais interdisciplinares faltarem, mais imoprtante uma UC desse tipo"}, </v>
      </c>
    </row>
    <row r="13" spans="1:18" x14ac:dyDescent="0.3">
      <c r="A13" t="s">
        <v>11</v>
      </c>
      <c r="B13" t="s">
        <v>69</v>
      </c>
      <c r="C13">
        <v>-100</v>
      </c>
      <c r="J13" t="str">
        <f t="shared" si="6"/>
        <v>-100</v>
      </c>
      <c r="L13" t="str">
        <f t="shared" si="0"/>
        <v xml:space="preserve">"id": "L", </v>
      </c>
      <c r="M13" t="str">
        <f t="shared" si="1"/>
        <v xml:space="preserve">"name": "UC já cursada e aprovada", </v>
      </c>
      <c r="N13" t="str">
        <f t="shared" si="2"/>
        <v xml:space="preserve">"score": "-100", </v>
      </c>
      <c r="O13" t="str">
        <f t="shared" si="3"/>
        <v xml:space="preserve">"extra": "", </v>
      </c>
      <c r="P13" t="str">
        <f t="shared" si="4"/>
        <v>"obs": ""</v>
      </c>
      <c r="R13" t="str">
        <f t="shared" si="5"/>
        <v xml:space="preserve">{"id": "L", "name": "UC já cursada e aprovada", "score": "-100", "extra": "", "obs": ""}, </v>
      </c>
    </row>
    <row r="14" spans="1:18" x14ac:dyDescent="0.3">
      <c r="A14" t="s">
        <v>12</v>
      </c>
      <c r="B14" t="s">
        <v>70</v>
      </c>
      <c r="C14" t="s">
        <v>72</v>
      </c>
      <c r="D14" t="s">
        <v>91</v>
      </c>
      <c r="G14" t="s">
        <v>94</v>
      </c>
      <c r="J14" t="str">
        <f t="shared" si="6"/>
        <v>k['q'] + (k['t']/10)</v>
      </c>
      <c r="L14" t="str">
        <f t="shared" si="0"/>
        <v xml:space="preserve">"id": "M", </v>
      </c>
      <c r="M14" t="str">
        <f t="shared" si="1"/>
        <v xml:space="preserve">"name": "DP na UC", </v>
      </c>
      <c r="N14" t="str">
        <f t="shared" si="2"/>
        <v xml:space="preserve">"score": "k['q'] + (k['t']/10)", </v>
      </c>
      <c r="O14" t="str">
        <f t="shared" si="3"/>
        <v xml:space="preserve">"extra": "q=quantidade de dp's, t=dificuldade do professor", </v>
      </c>
      <c r="P14" t="str">
        <f t="shared" si="4"/>
        <v>"obs": ""</v>
      </c>
      <c r="R14" t="str">
        <f t="shared" si="5"/>
        <v xml:space="preserve">{"id": "M", "name": "DP na UC", "score": "k['q'] + (k['t']/10)", "extra": "q=quantidade de dp's, t=dificuldade do professor", "obs": ""}, </v>
      </c>
    </row>
    <row r="15" spans="1:18" x14ac:dyDescent="0.3">
      <c r="A15" t="s">
        <v>13</v>
      </c>
      <c r="B15" t="s">
        <v>73</v>
      </c>
      <c r="C15" t="s">
        <v>74</v>
      </c>
      <c r="G15" s="2"/>
      <c r="H15" t="s">
        <v>114</v>
      </c>
      <c r="I15" s="1" t="s">
        <v>113</v>
      </c>
      <c r="J15" t="str">
        <f t="shared" si="6"/>
        <v xml:space="preserve">1 </v>
      </c>
      <c r="L15" t="str">
        <f t="shared" si="0"/>
        <v xml:space="preserve">"id": "N", </v>
      </c>
      <c r="M15" t="str">
        <f t="shared" si="1"/>
        <v xml:space="preserve">"name": "Professor não da falta", </v>
      </c>
      <c r="N15" t="str">
        <f t="shared" si="2"/>
        <v xml:space="preserve">"score": "1 ", </v>
      </c>
      <c r="O15" t="str">
        <f t="shared" si="3"/>
        <v xml:space="preserve">"extra": "", </v>
      </c>
      <c r="P15" t="str">
        <f t="shared" si="4"/>
        <v>"obs": ""</v>
      </c>
      <c r="R15" t="str">
        <f t="shared" si="5"/>
        <v xml:space="preserve">{"id": "N", "name": "Professor não da falta", "score": "1 ", "extra": "", "obs": ""}, </v>
      </c>
    </row>
    <row r="16" spans="1:18" x14ac:dyDescent="0.3">
      <c r="A16" t="s">
        <v>14</v>
      </c>
      <c r="B16" t="s">
        <v>77</v>
      </c>
      <c r="C16">
        <v>2</v>
      </c>
      <c r="J16" t="str">
        <f t="shared" si="6"/>
        <v>2</v>
      </c>
      <c r="L16" t="str">
        <f t="shared" si="0"/>
        <v xml:space="preserve">"id": "O", </v>
      </c>
      <c r="M16" t="str">
        <f t="shared" si="1"/>
        <v xml:space="preserve">"name": "Aluno prefere o horário", </v>
      </c>
      <c r="N16" t="str">
        <f t="shared" si="2"/>
        <v xml:space="preserve">"score": "2", </v>
      </c>
      <c r="O16" t="str">
        <f t="shared" si="3"/>
        <v xml:space="preserve">"extra": "", </v>
      </c>
      <c r="P16" t="str">
        <f t="shared" si="4"/>
        <v>"obs": ""</v>
      </c>
      <c r="R16" t="str">
        <f t="shared" si="5"/>
        <v xml:space="preserve">{"id": "O", "name": "Aluno prefere o horário", "score": "2", "extra": "", "obs": ""}, </v>
      </c>
    </row>
    <row r="17" spans="1:18" x14ac:dyDescent="0.3">
      <c r="A17" t="s">
        <v>15</v>
      </c>
      <c r="B17" t="s">
        <v>78</v>
      </c>
      <c r="C17">
        <v>-5</v>
      </c>
      <c r="J17" t="str">
        <f t="shared" si="6"/>
        <v>-5</v>
      </c>
      <c r="L17" t="str">
        <f t="shared" si="0"/>
        <v xml:space="preserve">"id": "P", </v>
      </c>
      <c r="M17" t="str">
        <f t="shared" si="1"/>
        <v xml:space="preserve">"name": "Aluno prefere NÃO ter o horário", </v>
      </c>
      <c r="N17" t="str">
        <f t="shared" si="2"/>
        <v xml:space="preserve">"score": "-5", </v>
      </c>
      <c r="O17" t="str">
        <f t="shared" si="3"/>
        <v xml:space="preserve">"extra": "", </v>
      </c>
      <c r="P17" t="str">
        <f t="shared" si="4"/>
        <v>"obs": ""</v>
      </c>
      <c r="R17" t="str">
        <f t="shared" si="5"/>
        <v xml:space="preserve">{"id": "P", "name": "Aluno prefere NÃO ter o horário", "score": "-5", "extra": "", "obs": ""}, </v>
      </c>
    </row>
    <row r="18" spans="1:18" x14ac:dyDescent="0.3">
      <c r="A18" t="s">
        <v>16</v>
      </c>
      <c r="B18" t="s">
        <v>79</v>
      </c>
      <c r="C18">
        <v>7</v>
      </c>
      <c r="J18" t="str">
        <f t="shared" si="6"/>
        <v>7</v>
      </c>
      <c r="L18" t="str">
        <f t="shared" si="0"/>
        <v xml:space="preserve">"id": "Q", </v>
      </c>
      <c r="M18" t="str">
        <f t="shared" si="1"/>
        <v xml:space="preserve">"name": "Aluno quer fazer a matéria", </v>
      </c>
      <c r="N18" t="str">
        <f t="shared" si="2"/>
        <v xml:space="preserve">"score": "7", </v>
      </c>
      <c r="O18" t="str">
        <f t="shared" si="3"/>
        <v xml:space="preserve">"extra": "", </v>
      </c>
      <c r="P18" t="str">
        <f t="shared" si="4"/>
        <v>"obs": ""</v>
      </c>
      <c r="R18" t="str">
        <f t="shared" si="5"/>
        <v xml:space="preserve">{"id": "Q", "name": "Aluno quer fazer a matéria", "score": "7", "extra": "", "obs": ""}, </v>
      </c>
    </row>
    <row r="19" spans="1:18" x14ac:dyDescent="0.3">
      <c r="A19" t="s">
        <v>17</v>
      </c>
      <c r="B19" t="s">
        <v>95</v>
      </c>
      <c r="C19">
        <v>3</v>
      </c>
      <c r="J19" t="str">
        <f t="shared" si="6"/>
        <v>3</v>
      </c>
      <c r="L19" t="str">
        <f t="shared" si="0"/>
        <v xml:space="preserve">"id": "R", </v>
      </c>
      <c r="M19" t="str">
        <f t="shared" si="1"/>
        <v xml:space="preserve">"name": "Aluno é do curso da UC", </v>
      </c>
      <c r="N19" t="str">
        <f t="shared" si="2"/>
        <v xml:space="preserve">"score": "3", </v>
      </c>
      <c r="O19" t="str">
        <f t="shared" si="3"/>
        <v xml:space="preserve">"extra": "", </v>
      </c>
      <c r="P19" t="str">
        <f t="shared" si="4"/>
        <v>"obs": ""</v>
      </c>
      <c r="R19" t="str">
        <f t="shared" si="5"/>
        <v xml:space="preserve">{"id": "R", "name": "Aluno é do curso da UC", "score": "3", "extra": "", "obs": ""}, </v>
      </c>
    </row>
    <row r="20" spans="1:18" x14ac:dyDescent="0.3">
      <c r="A20" t="s">
        <v>18</v>
      </c>
      <c r="B20" t="s">
        <v>96</v>
      </c>
      <c r="C20" t="s">
        <v>107</v>
      </c>
      <c r="D20" t="s">
        <v>116</v>
      </c>
      <c r="E20" t="s">
        <v>97</v>
      </c>
      <c r="H20" t="s">
        <v>110</v>
      </c>
      <c r="I20" t="s">
        <v>111</v>
      </c>
      <c r="J20" t="str">
        <f t="shared" si="6"/>
        <v>2 * ((6 / (k['x'] + 5)) ** 2)</v>
      </c>
      <c r="L20" t="str">
        <f t="shared" si="0"/>
        <v xml:space="preserve">"id": "S", </v>
      </c>
      <c r="M20" t="str">
        <f t="shared" si="1"/>
        <v xml:space="preserve">"name": "A UC é obrigatória pro curso", </v>
      </c>
      <c r="N20" t="str">
        <f t="shared" si="2"/>
        <v xml:space="preserve">"score": "2 * ((6 / (k['x'] + 5)) ** 2)", </v>
      </c>
      <c r="O20" t="str">
        <f t="shared" si="3"/>
        <v xml:space="preserve">"extra": "t,x=tempo restante para acabar curso", </v>
      </c>
      <c r="P20" t="str">
        <f t="shared" si="4"/>
        <v>"obs": "Só é valida qnd a UC é de termo passado (toma-se como t max 10)"</v>
      </c>
      <c r="R20" t="str">
        <f t="shared" si="5"/>
        <v xml:space="preserve">{"id": "S", "name": "A UC é obrigatória pro curso", "score": "2 * ((6 / (k['x'] + 5)) ** 2)", "extra": "t,x=tempo restante para acabar curso", "obs": "Só é valida qnd a UC é de termo passado (toma-se como t max 10)"}, </v>
      </c>
    </row>
    <row r="21" spans="1:18" x14ac:dyDescent="0.3">
      <c r="A21" t="s">
        <v>19</v>
      </c>
      <c r="B21" t="s">
        <v>98</v>
      </c>
      <c r="C21" t="s">
        <v>107</v>
      </c>
      <c r="D21" t="s">
        <v>117</v>
      </c>
      <c r="E21" t="s">
        <v>99</v>
      </c>
      <c r="H21" t="s">
        <v>110</v>
      </c>
      <c r="I21" t="s">
        <v>111</v>
      </c>
      <c r="J21" t="str">
        <f t="shared" si="6"/>
        <v>2 * ((6 / (k['x'] + 5)) ** 2)</v>
      </c>
      <c r="L21" t="str">
        <f t="shared" si="0"/>
        <v xml:space="preserve">"id": "T", </v>
      </c>
      <c r="M21" t="str">
        <f t="shared" si="1"/>
        <v xml:space="preserve">"name": "O aluno precisa de Ucs eletivas", </v>
      </c>
      <c r="N21" t="str">
        <f t="shared" si="2"/>
        <v xml:space="preserve">"score": "2 * ((6 / (k['x'] + 5)) ** 2)", </v>
      </c>
      <c r="O21" t="str">
        <f t="shared" si="3"/>
        <v xml:space="preserve">"extra": "t,x=tempo restante para acabar curso, c(x)", </v>
      </c>
      <c r="P21" t="str">
        <f t="shared" si="4"/>
        <v>"obs": "Só aplicada qnd a UC é eletiva"</v>
      </c>
      <c r="R21" t="str">
        <f t="shared" si="5"/>
        <v xml:space="preserve">{"id": "T", "name": "O aluno precisa de Ucs eletivas", "score": "2 * ((6 / (k['x'] + 5)) ** 2)", "extra": "t,x=tempo restante para acabar curso, c(x)", "obs": "Só aplicada qnd a UC é eletiva"}, </v>
      </c>
    </row>
    <row r="22" spans="1:18" x14ac:dyDescent="0.3">
      <c r="A22" t="s">
        <v>20</v>
      </c>
      <c r="B22" t="s">
        <v>118</v>
      </c>
      <c r="C22">
        <v>3</v>
      </c>
      <c r="E22" t="s">
        <v>119</v>
      </c>
      <c r="J22" t="str">
        <f t="shared" si="6"/>
        <v>3</v>
      </c>
      <c r="L22" t="str">
        <f t="shared" si="0"/>
        <v xml:space="preserve">"id": "U", </v>
      </c>
      <c r="M22" t="str">
        <f t="shared" si="1"/>
        <v xml:space="preserve">"name": "Aluno prefere o professor", </v>
      </c>
      <c r="N22" t="str">
        <f t="shared" si="2"/>
        <v xml:space="preserve">"score": "3", </v>
      </c>
      <c r="O22" t="str">
        <f t="shared" si="3"/>
        <v xml:space="preserve">"extra": "", </v>
      </c>
      <c r="P22" t="str">
        <f t="shared" si="4"/>
        <v>"obs": "Substitui a pontuaçao de dificuldade do professor"</v>
      </c>
      <c r="R22" t="str">
        <f t="shared" si="5"/>
        <v xml:space="preserve">{"id": "U", "name": "Aluno prefere o professor", "score": "3", "extra": "", "obs": "Substitui a pontuaçao de dificuldade do professor"}, </v>
      </c>
    </row>
    <row r="23" spans="1:18" x14ac:dyDescent="0.3">
      <c r="A23" t="s">
        <v>21</v>
      </c>
      <c r="B23" t="s">
        <v>120</v>
      </c>
      <c r="C23">
        <v>-5</v>
      </c>
      <c r="J23" t="str">
        <f t="shared" si="6"/>
        <v>-5</v>
      </c>
      <c r="L23" t="str">
        <f t="shared" si="0"/>
        <v xml:space="preserve">"id": "V", </v>
      </c>
      <c r="M23" t="str">
        <f t="shared" si="1"/>
        <v xml:space="preserve">"name": "Aluno NÃO prefere o professor", </v>
      </c>
      <c r="N23" t="str">
        <f t="shared" si="2"/>
        <v xml:space="preserve">"score": "-5", </v>
      </c>
      <c r="O23" t="str">
        <f t="shared" si="3"/>
        <v xml:space="preserve">"extra": "", </v>
      </c>
      <c r="P23" t="str">
        <f t="shared" si="4"/>
        <v>"obs": ""</v>
      </c>
      <c r="R23" t="str">
        <f t="shared" si="5"/>
        <v xml:space="preserve">{"id": "V", "name": "Aluno NÃO prefere o professor", "score": "-5", "extra": "", "obs": ""}, </v>
      </c>
    </row>
    <row r="24" spans="1:18" x14ac:dyDescent="0.3">
      <c r="A24" t="s">
        <v>22</v>
      </c>
      <c r="B24" t="s">
        <v>121</v>
      </c>
      <c r="C24">
        <v>-50</v>
      </c>
      <c r="J24" t="str">
        <f t="shared" si="6"/>
        <v>-50</v>
      </c>
      <c r="L24" t="str">
        <f t="shared" si="0"/>
        <v xml:space="preserve">"id": "W", </v>
      </c>
      <c r="M24" t="str">
        <f t="shared" si="1"/>
        <v xml:space="preserve">"name": "Gene recessivo", </v>
      </c>
      <c r="N24" t="str">
        <f t="shared" si="2"/>
        <v xml:space="preserve">"score": "-50", </v>
      </c>
      <c r="O24" t="str">
        <f t="shared" si="3"/>
        <v xml:space="preserve">"extra": "", </v>
      </c>
      <c r="P24" t="str">
        <f t="shared" si="4"/>
        <v>"obs": ""</v>
      </c>
      <c r="R24" t="str">
        <f t="shared" si="5"/>
        <v xml:space="preserve">{"id": "W", "name": "Gene recessivo", "score": "-50", "extra": "", "obs": ""}, </v>
      </c>
    </row>
    <row r="25" spans="1:18" x14ac:dyDescent="0.3">
      <c r="A25" t="s">
        <v>23</v>
      </c>
      <c r="J25" t="str">
        <f t="shared" si="6"/>
        <v/>
      </c>
      <c r="L25" t="str">
        <f t="shared" si="0"/>
        <v xml:space="preserve">"id": "X", </v>
      </c>
      <c r="M25" t="str">
        <f t="shared" si="1"/>
        <v xml:space="preserve">"name": "", </v>
      </c>
      <c r="N25" t="str">
        <f t="shared" si="2"/>
        <v xml:space="preserve">"score": "", </v>
      </c>
      <c r="O25" t="str">
        <f t="shared" si="3"/>
        <v xml:space="preserve">"extra": "", </v>
      </c>
      <c r="P25" t="str">
        <f t="shared" si="4"/>
        <v>"obs": ""</v>
      </c>
      <c r="R25" t="str">
        <f t="shared" si="5"/>
        <v xml:space="preserve">{"id": "X", "name": "", "score": "", "extra": "", "obs": ""}, </v>
      </c>
    </row>
    <row r="26" spans="1:18" x14ac:dyDescent="0.3">
      <c r="A26" t="s">
        <v>24</v>
      </c>
      <c r="J26" t="str">
        <f t="shared" si="6"/>
        <v/>
      </c>
      <c r="L26" t="str">
        <f t="shared" si="0"/>
        <v xml:space="preserve">"id": "Y", </v>
      </c>
      <c r="M26" t="str">
        <f t="shared" si="1"/>
        <v xml:space="preserve">"name": "", </v>
      </c>
      <c r="N26" t="str">
        <f t="shared" si="2"/>
        <v xml:space="preserve">"score": "", </v>
      </c>
      <c r="O26" t="str">
        <f t="shared" si="3"/>
        <v xml:space="preserve">"extra": "", </v>
      </c>
      <c r="P26" t="str">
        <f t="shared" si="4"/>
        <v>"obs": ""</v>
      </c>
      <c r="R26" t="str">
        <f t="shared" si="5"/>
        <v xml:space="preserve">{"id": "Y", "name": "", "score": "", "extra": "", "obs": ""}, </v>
      </c>
    </row>
    <row r="27" spans="1:18" x14ac:dyDescent="0.3">
      <c r="A27" t="s">
        <v>25</v>
      </c>
      <c r="J27" t="str">
        <f t="shared" si="6"/>
        <v/>
      </c>
      <c r="L27" t="str">
        <f t="shared" si="0"/>
        <v xml:space="preserve">"id": "Z", </v>
      </c>
      <c r="M27" t="str">
        <f t="shared" si="1"/>
        <v xml:space="preserve">"name": "", </v>
      </c>
      <c r="N27" t="str">
        <f t="shared" si="2"/>
        <v xml:space="preserve">"score": "", </v>
      </c>
      <c r="O27" t="str">
        <f t="shared" si="3"/>
        <v xml:space="preserve">"extra": "", </v>
      </c>
      <c r="P27" t="str">
        <f t="shared" si="4"/>
        <v>"obs": ""</v>
      </c>
      <c r="R27" t="str">
        <f>_xlfn.CONCAT("{",L27:P27,"} ")</f>
        <v xml:space="preserve">{"id": "Z", "name": "", "score": "", "extra": "", "obs": ""} </v>
      </c>
    </row>
    <row r="28" spans="1:18" x14ac:dyDescent="0.3">
      <c r="R28" t="s">
        <v>88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735195-E730-4E81-BCFF-5A4414BE4D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(analise) Coeficiente de Tempo</vt:lpstr>
      <vt:lpstr>Tabela de Condições</vt:lpstr>
      <vt:lpstr>query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2018-06-23T22:22:25Z</dcterms:modified>
</cp:coreProperties>
</file>